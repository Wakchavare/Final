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5c87ca145bc5b8a/Desktop/Vendor PO/Unique Designs/Batch 15/"/>
    </mc:Choice>
  </mc:AlternateContent>
  <xr:revisionPtr revIDLastSave="5" documentId="8_{A16685B1-9837-4F98-BEAF-3D3F2F74EC35}" xr6:coauthVersionLast="47" xr6:coauthVersionMax="47" xr10:uidLastSave="{A78D09B9-C1BF-4E11-8295-854455618C13}"/>
  <bookViews>
    <workbookView xWindow="-120" yWindow="-120" windowWidth="29040" windowHeight="15720" xr2:uid="{EAE0FE8C-68B8-4BA6-9A0E-6492D62F653C}"/>
  </bookViews>
  <sheets>
    <sheet name="988 10K" sheetId="1" r:id="rId1"/>
  </sheets>
  <definedNames>
    <definedName name="_xlnm._FilterDatabase" localSheetId="0" hidden="1">'988 10K'!$A$9:$P$14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4" i="1" l="1"/>
  <c r="J14" i="1"/>
  <c r="N13" i="1"/>
  <c r="O13" i="1" s="1"/>
  <c r="P13" i="1" s="1"/>
  <c r="Q13" i="1" s="1"/>
  <c r="N12" i="1"/>
  <c r="O12" i="1" s="1"/>
  <c r="P12" i="1" s="1"/>
  <c r="Q12" i="1" s="1"/>
  <c r="N11" i="1"/>
  <c r="O11" i="1" s="1"/>
  <c r="P11" i="1" s="1"/>
  <c r="Q11" i="1" s="1"/>
  <c r="N10" i="1"/>
  <c r="O10" i="1" s="1"/>
  <c r="R6" i="1"/>
  <c r="R5" i="1"/>
  <c r="R4" i="1"/>
  <c r="R3" i="1"/>
  <c r="R2" i="1"/>
  <c r="P10" i="1" l="1"/>
  <c r="O14" i="1"/>
  <c r="N14" i="1"/>
  <c r="Q10" i="1" l="1"/>
  <c r="Q14" i="1" s="1"/>
  <c r="P14" i="1"/>
</calcChain>
</file>

<file path=xl/sharedStrings.xml><?xml version="1.0" encoding="utf-8"?>
<sst xmlns="http://schemas.openxmlformats.org/spreadsheetml/2006/main" count="50" uniqueCount="41">
  <si>
    <t>Unique Designs Inc</t>
  </si>
  <si>
    <t>Purchase Order Form</t>
  </si>
  <si>
    <t>Gold Purchase</t>
  </si>
  <si>
    <t>10KT</t>
  </si>
  <si>
    <r>
      <t xml:space="preserve">Customer Name: </t>
    </r>
    <r>
      <rPr>
        <sz val="14"/>
        <color theme="1"/>
        <rFont val="Calibri"/>
        <family val="2"/>
        <scheme val="minor"/>
      </rPr>
      <t>ShineBright USA, INC.</t>
    </r>
  </si>
  <si>
    <t>Date of Order</t>
  </si>
  <si>
    <t>05.15.2026</t>
  </si>
  <si>
    <t>14KT</t>
  </si>
  <si>
    <r>
      <t xml:space="preserve">Address: </t>
    </r>
    <r>
      <rPr>
        <sz val="14"/>
        <color theme="1"/>
        <rFont val="Calibri"/>
        <family val="2"/>
        <scheme val="minor"/>
      </rPr>
      <t>36W 44TH ST, STE 1209</t>
    </r>
    <r>
      <rPr>
        <b/>
        <sz val="14"/>
        <color theme="1"/>
        <rFont val="Calibri"/>
        <family val="2"/>
        <scheme val="minor"/>
      </rPr>
      <t xml:space="preserve">, </t>
    </r>
    <r>
      <rPr>
        <sz val="14"/>
        <color theme="1"/>
        <rFont val="Calibri"/>
        <family val="2"/>
        <scheme val="minor"/>
      </rPr>
      <t>New York NY 10036 USA</t>
    </r>
  </si>
  <si>
    <t>SO No.:</t>
  </si>
  <si>
    <t>18KT</t>
  </si>
  <si>
    <r>
      <t xml:space="preserve">Gold Value </t>
    </r>
    <r>
      <rPr>
        <b/>
        <sz val="10"/>
        <color theme="1"/>
        <rFont val="Calibri"/>
        <family val="2"/>
        <scheme val="minor"/>
      </rPr>
      <t>(Closing - London Fix)</t>
    </r>
  </si>
  <si>
    <t>SILV</t>
  </si>
  <si>
    <t>Silver Value</t>
  </si>
  <si>
    <t>PLAT</t>
  </si>
  <si>
    <t>Platinum Value</t>
  </si>
  <si>
    <t>Sr No.</t>
  </si>
  <si>
    <t>Image</t>
  </si>
  <si>
    <t>Wax Shipment Inv No.</t>
  </si>
  <si>
    <t>Tree No.</t>
  </si>
  <si>
    <t>VPO No/PO no</t>
  </si>
  <si>
    <t>Product Category</t>
  </si>
  <si>
    <t>SKU</t>
  </si>
  <si>
    <t>Customer SKU</t>
  </si>
  <si>
    <t>Wax Qty (if providing extra waxes)</t>
  </si>
  <si>
    <t>Order Qty</t>
  </si>
  <si>
    <r>
      <t xml:space="preserve">KT
</t>
    </r>
    <r>
      <rPr>
        <b/>
        <sz val="8"/>
        <color theme="1"/>
        <rFont val="Calibri"/>
        <family val="2"/>
        <scheme val="minor"/>
      </rPr>
      <t>(Drop Down)</t>
    </r>
  </si>
  <si>
    <t>Color</t>
  </si>
  <si>
    <t>Net wt/Pc</t>
  </si>
  <si>
    <t>Gross Wt (12% over Net Wt) / pc</t>
  </si>
  <si>
    <t>Total Wt</t>
  </si>
  <si>
    <t>Required Metal PG</t>
  </si>
  <si>
    <t>Total Value against required metal</t>
  </si>
  <si>
    <t>Ring</t>
  </si>
  <si>
    <t>WAXSBPR100Y10</t>
  </si>
  <si>
    <t>10KY</t>
  </si>
  <si>
    <t>WAXSBPR101Y10</t>
  </si>
  <si>
    <t>WAXSBPR101W10</t>
  </si>
  <si>
    <t>10KW</t>
  </si>
  <si>
    <t>WAXSBPR103W10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</si>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</sst>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1010409]General"/>
    <numFmt numFmtId="165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1"/>
      <color indexed="8"/>
      <name val="Arial"/>
      <family val="2"/>
    </font>
    <font>
      <sz val="10.5"/>
      <color rgb="FFFF0000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Tahoma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>
      <alignment vertical="center"/>
    </xf>
  </cellStyleXfs>
  <cellXfs count="5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15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readingOrder="1"/>
    </xf>
    <xf numFmtId="164" fontId="11" fillId="5" borderId="4" xfId="2" applyNumberFormat="1" applyFont="1" applyFill="1" applyBorder="1" applyAlignment="1">
      <alignment horizontal="center" vertical="center" readingOrder="1"/>
    </xf>
    <xf numFmtId="0" fontId="2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49" fontId="12" fillId="5" borderId="4" xfId="0" applyNumberFormat="1" applyFont="1" applyFill="1" applyBorder="1" applyAlignment="1">
      <alignment horizontal="center" vertical="center" readingOrder="1"/>
    </xf>
    <xf numFmtId="2" fontId="0" fillId="5" borderId="4" xfId="0" applyNumberForma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44" fontId="0" fillId="5" borderId="4" xfId="1" applyFont="1" applyFill="1" applyBorder="1" applyAlignment="1">
      <alignment horizontal="center" vertical="center"/>
    </xf>
    <xf numFmtId="49" fontId="14" fillId="5" borderId="4" xfId="0" applyNumberFormat="1" applyFont="1" applyFill="1" applyBorder="1" applyAlignment="1">
      <alignment horizontal="center" vertical="center" readingOrder="1"/>
    </xf>
    <xf numFmtId="0" fontId="15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44" fontId="15" fillId="0" borderId="4" xfId="1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F7F1776A-506F-4626-A769-356D804377EE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142875</xdr:rowOff>
    </xdr:from>
    <xdr:ext cx="2314575" cy="599588"/>
    <xdr:pic>
      <xdr:nvPicPr>
        <xdr:cNvPr id="2" name="Picture 1">
          <a:extLst>
            <a:ext uri="{FF2B5EF4-FFF2-40B4-BE49-F238E27FC236}">
              <a16:creationId xmlns:a16="http://schemas.microsoft.com/office/drawing/2014/main" id="{667F71CA-5955-4953-8E19-BB7CFCC97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42875"/>
          <a:ext cx="2314575" cy="5995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0FCC-84FF-4CDE-9E6A-5395B45BCB42}">
  <sheetPr>
    <pageSetUpPr fitToPage="1"/>
  </sheetPr>
  <dimension ref="A1:AX19"/>
  <sheetViews>
    <sheetView tabSelected="1" zoomScaleNormal="100" workbookViewId="0">
      <selection activeCell="W25" sqref="W25"/>
    </sheetView>
  </sheetViews>
  <sheetFormatPr defaultRowHeight="15" outlineLevelCol="1" x14ac:dyDescent="0.25"/>
  <cols>
    <col min="1" max="1" width="7.85546875" style="7" bestFit="1" customWidth="1"/>
    <col min="2" max="2" width="17.5703125" style="7" bestFit="1" customWidth="1"/>
    <col min="3" max="3" width="13.5703125" style="7" customWidth="1"/>
    <col min="4" max="4" width="12" style="7" bestFit="1" customWidth="1"/>
    <col min="5" max="5" width="15.85546875" style="7" bestFit="1" customWidth="1"/>
    <col min="6" max="6" width="14.28515625" style="7" customWidth="1"/>
    <col min="7" max="7" width="18.28515625" style="7" bestFit="1" customWidth="1"/>
    <col min="8" max="8" width="17.5703125" style="7" bestFit="1" customWidth="1"/>
    <col min="9" max="9" width="12.5703125" style="7" customWidth="1"/>
    <col min="10" max="10" width="7.140625" style="7" bestFit="1" customWidth="1"/>
    <col min="11" max="11" width="7.5703125" style="7" bestFit="1" customWidth="1"/>
    <col min="12" max="12" width="7.28515625" style="7" customWidth="1"/>
    <col min="13" max="13" width="9.140625" style="7"/>
    <col min="14" max="14" width="13.7109375" style="7" bestFit="1" customWidth="1"/>
    <col min="15" max="15" width="9" style="7" customWidth="1"/>
    <col min="16" max="16" width="11" style="7" customWidth="1" outlineLevel="1"/>
    <col min="17" max="17" width="15" style="7" customWidth="1" outlineLevel="1"/>
    <col min="18" max="18" width="11.5703125" style="7" bestFit="1" customWidth="1" outlineLevel="1"/>
    <col min="19" max="20" width="9.140625" style="7" customWidth="1" outlineLevel="1"/>
    <col min="22" max="16384" width="9.140625" style="7"/>
  </cols>
  <sheetData>
    <row r="1" spans="1:50" ht="71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4"/>
      <c r="M1" s="4"/>
      <c r="N1" s="4"/>
      <c r="O1" s="4"/>
      <c r="P1" s="5" t="s">
        <v>2</v>
      </c>
      <c r="Q1" s="5"/>
      <c r="R1" s="5"/>
      <c r="S1" s="6"/>
      <c r="T1" s="6"/>
    </row>
    <row r="2" spans="1:50" ht="19.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1" t="s">
        <v>3</v>
      </c>
      <c r="Q2" s="11">
        <v>0.42199999999999999</v>
      </c>
      <c r="R2" s="11">
        <f>M5</f>
        <v>4553.55</v>
      </c>
    </row>
    <row r="3" spans="1:50" ht="19.5" customHeight="1" x14ac:dyDescent="0.25">
      <c r="A3" s="8" t="s">
        <v>4</v>
      </c>
      <c r="B3" s="9"/>
      <c r="C3" s="9"/>
      <c r="D3" s="9"/>
      <c r="E3" s="9"/>
      <c r="F3" s="9"/>
      <c r="G3" s="9"/>
      <c r="H3" s="10"/>
      <c r="I3" s="12" t="s">
        <v>5</v>
      </c>
      <c r="J3" s="12"/>
      <c r="K3" s="12"/>
      <c r="L3" s="12"/>
      <c r="M3" s="13" t="s">
        <v>6</v>
      </c>
      <c r="N3" s="13"/>
      <c r="O3" s="14"/>
      <c r="P3" s="11" t="s">
        <v>7</v>
      </c>
      <c r="Q3" s="11">
        <v>0.58499999999999996</v>
      </c>
      <c r="R3" s="11">
        <f>M5</f>
        <v>4553.55</v>
      </c>
    </row>
    <row r="4" spans="1:50" ht="19.5" customHeight="1" x14ac:dyDescent="0.25">
      <c r="A4" s="15" t="s">
        <v>8</v>
      </c>
      <c r="B4" s="16"/>
      <c r="C4" s="16"/>
      <c r="D4" s="16"/>
      <c r="E4" s="16"/>
      <c r="F4" s="16"/>
      <c r="G4" s="16"/>
      <c r="H4" s="17"/>
      <c r="I4" s="12" t="s">
        <v>9</v>
      </c>
      <c r="J4" s="12"/>
      <c r="K4" s="12"/>
      <c r="L4" s="12"/>
      <c r="M4" s="9"/>
      <c r="N4" s="9"/>
      <c r="O4" s="10"/>
      <c r="P4" s="11" t="s">
        <v>10</v>
      </c>
      <c r="Q4" s="11">
        <v>0.752</v>
      </c>
      <c r="R4" s="11">
        <f>M5</f>
        <v>4553.55</v>
      </c>
    </row>
    <row r="5" spans="1:50" ht="19.5" customHeight="1" x14ac:dyDescent="0.25">
      <c r="A5" s="18"/>
      <c r="B5" s="19"/>
      <c r="C5" s="19"/>
      <c r="D5" s="19"/>
      <c r="E5" s="19"/>
      <c r="F5" s="19"/>
      <c r="G5" s="19"/>
      <c r="H5" s="20"/>
      <c r="I5" s="12" t="s">
        <v>11</v>
      </c>
      <c r="J5" s="12"/>
      <c r="K5" s="12"/>
      <c r="L5" s="12"/>
      <c r="M5" s="21">
        <v>4553.55</v>
      </c>
      <c r="N5" s="9"/>
      <c r="O5" s="10"/>
      <c r="P5" s="11" t="s">
        <v>12</v>
      </c>
      <c r="Q5" s="11">
        <v>1</v>
      </c>
      <c r="R5" s="11">
        <f>M6</f>
        <v>0</v>
      </c>
    </row>
    <row r="6" spans="1:50" ht="19.5" customHeight="1" x14ac:dyDescent="0.25">
      <c r="A6" s="22"/>
      <c r="B6" s="23"/>
      <c r="C6" s="23"/>
      <c r="D6" s="23"/>
      <c r="E6" s="23"/>
      <c r="F6" s="23"/>
      <c r="G6" s="23"/>
      <c r="H6" s="24"/>
      <c r="I6" s="12" t="s">
        <v>13</v>
      </c>
      <c r="J6" s="12"/>
      <c r="K6" s="12"/>
      <c r="L6" s="12"/>
      <c r="M6" s="8"/>
      <c r="N6" s="9"/>
      <c r="O6" s="10"/>
      <c r="P6" s="11" t="s">
        <v>14</v>
      </c>
      <c r="Q6" s="11">
        <v>1</v>
      </c>
      <c r="R6" s="11">
        <f>M7</f>
        <v>0</v>
      </c>
    </row>
    <row r="7" spans="1:50" ht="19.5" customHeight="1" x14ac:dyDescent="0.25">
      <c r="A7" s="25"/>
      <c r="B7" s="26"/>
      <c r="C7" s="26"/>
      <c r="D7" s="26"/>
      <c r="E7" s="26"/>
      <c r="F7" s="27"/>
      <c r="G7" s="27"/>
      <c r="H7" s="27"/>
      <c r="I7" s="12" t="s">
        <v>15</v>
      </c>
      <c r="J7" s="12"/>
      <c r="K7" s="12"/>
      <c r="L7" s="12"/>
      <c r="M7" s="8"/>
      <c r="N7" s="9"/>
      <c r="O7" s="10"/>
    </row>
    <row r="8" spans="1:50" ht="19.5" customHeight="1" x14ac:dyDescent="0.25">
      <c r="A8" s="28"/>
      <c r="B8" s="27"/>
      <c r="C8" s="26"/>
      <c r="D8" s="26"/>
      <c r="E8" s="26"/>
      <c r="F8" s="27"/>
      <c r="G8" s="27"/>
      <c r="H8" s="27"/>
      <c r="I8" s="27"/>
      <c r="J8" s="27"/>
      <c r="K8" s="27"/>
      <c r="L8" s="27"/>
      <c r="M8" s="27"/>
      <c r="N8" s="27"/>
      <c r="O8" s="29"/>
    </row>
    <row r="9" spans="1:50" ht="76.5" customHeight="1" x14ac:dyDescent="0.25">
      <c r="A9" s="30" t="s">
        <v>16</v>
      </c>
      <c r="B9" s="30" t="s">
        <v>17</v>
      </c>
      <c r="C9" s="30" t="s">
        <v>18</v>
      </c>
      <c r="D9" s="31" t="s">
        <v>19</v>
      </c>
      <c r="E9" s="31" t="s">
        <v>20</v>
      </c>
      <c r="F9" s="30" t="s">
        <v>21</v>
      </c>
      <c r="G9" s="30" t="s">
        <v>22</v>
      </c>
      <c r="H9" s="30" t="s">
        <v>23</v>
      </c>
      <c r="I9" s="30" t="s">
        <v>24</v>
      </c>
      <c r="J9" s="30" t="s">
        <v>25</v>
      </c>
      <c r="K9" s="30" t="s">
        <v>26</v>
      </c>
      <c r="L9" s="32" t="s">
        <v>27</v>
      </c>
      <c r="M9" s="30" t="s">
        <v>28</v>
      </c>
      <c r="N9" s="30" t="s">
        <v>29</v>
      </c>
      <c r="O9" s="30" t="s">
        <v>30</v>
      </c>
      <c r="P9" s="30" t="s">
        <v>31</v>
      </c>
      <c r="Q9" s="30" t="s">
        <v>32</v>
      </c>
    </row>
    <row r="10" spans="1:50" s="38" customFormat="1" ht="91.5" customHeight="1" x14ac:dyDescent="0.25">
      <c r="A10" s="33">
        <v>1</v>
      </c>
      <c r="B10" s="33"/>
      <c r="C10" s="34"/>
      <c r="D10" s="35"/>
      <c r="E10" s="11">
        <v>988</v>
      </c>
      <c r="F10" s="34" t="s">
        <v>33</v>
      </c>
      <c r="G10" s="36"/>
      <c r="H10" s="37" t="s">
        <v>34</v>
      </c>
      <c r="I10" s="38">
        <v>25</v>
      </c>
      <c r="J10" s="38">
        <v>25</v>
      </c>
      <c r="K10" s="39" t="s">
        <v>3</v>
      </c>
      <c r="L10" s="37" t="s">
        <v>35</v>
      </c>
      <c r="M10" s="40">
        <v>2.9</v>
      </c>
      <c r="N10" s="41">
        <f>(M10)+12%*M10</f>
        <v>3.2479999999999998</v>
      </c>
      <c r="O10" s="42">
        <f>N10*J10</f>
        <v>81.199999999999989</v>
      </c>
      <c r="P10" s="43">
        <f>O10*VLOOKUP(K10,$P$2:$Q$6,2,FALSE)</f>
        <v>34.266399999999997</v>
      </c>
      <c r="Q10" s="44">
        <f>(INDEX($R$2:$R$6,MATCH(K10,$P$2:$P$6,0))/31.103)*P10</f>
        <v>5016.6789608719409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49"/>
      <c r="AR10" s="49"/>
      <c r="AS10" s="49"/>
      <c r="AT10" s="49"/>
      <c r="AU10" s="49"/>
      <c r="AV10" s="49"/>
      <c r="AW10" s="49"/>
      <c r="AX10" s="49"/>
    </row>
    <row r="11" spans="1:50" s="38" customFormat="1" ht="91.5" customHeight="1" x14ac:dyDescent="0.25">
      <c r="A11" s="33">
        <v>2</v>
      </c>
      <c r="B11" s="33"/>
      <c r="C11" s="45"/>
      <c r="D11" s="35"/>
      <c r="E11" s="11">
        <v>988</v>
      </c>
      <c r="F11" s="34" t="s">
        <v>33</v>
      </c>
      <c r="G11" s="45"/>
      <c r="H11" s="37" t="s">
        <v>36</v>
      </c>
      <c r="I11" s="38">
        <v>25</v>
      </c>
      <c r="J11" s="38">
        <v>25</v>
      </c>
      <c r="K11" s="39" t="s">
        <v>3</v>
      </c>
      <c r="L11" s="37" t="s">
        <v>35</v>
      </c>
      <c r="M11" s="40">
        <v>2.9</v>
      </c>
      <c r="N11" s="41">
        <f t="shared" ref="N11:N12" si="0">(M11)+12%*M11</f>
        <v>3.2479999999999998</v>
      </c>
      <c r="O11" s="42">
        <f t="shared" ref="O11:O12" si="1">N11*J11</f>
        <v>81.199999999999989</v>
      </c>
      <c r="P11" s="43">
        <f t="shared" ref="P11:P12" si="2">O11*VLOOKUP(K11,$P$2:$Q$6,2,FALSE)</f>
        <v>34.266399999999997</v>
      </c>
      <c r="Q11" s="44">
        <f t="shared" ref="Q11:Q12" si="3">(INDEX($R$2:$R$6,MATCH(K11,$P$2:$P$6,0))/31.103)*P11</f>
        <v>5016.6789608719409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49"/>
      <c r="AR11" s="49"/>
      <c r="AS11" s="49"/>
      <c r="AT11" s="49"/>
      <c r="AU11" s="49"/>
      <c r="AV11" s="49"/>
      <c r="AW11" s="49"/>
      <c r="AX11" s="49"/>
    </row>
    <row r="12" spans="1:50" s="38" customFormat="1" ht="91.5" customHeight="1" x14ac:dyDescent="0.25">
      <c r="A12" s="33">
        <v>3</v>
      </c>
      <c r="B12" s="33"/>
      <c r="C12" s="45"/>
      <c r="D12" s="35"/>
      <c r="E12" s="11">
        <v>988</v>
      </c>
      <c r="F12" s="34" t="s">
        <v>33</v>
      </c>
      <c r="G12" s="45"/>
      <c r="H12" s="37" t="s">
        <v>37</v>
      </c>
      <c r="I12" s="38">
        <v>25</v>
      </c>
      <c r="J12" s="38">
        <v>25</v>
      </c>
      <c r="K12" s="39" t="s">
        <v>3</v>
      </c>
      <c r="L12" s="37" t="s">
        <v>38</v>
      </c>
      <c r="M12" s="40">
        <v>2.9</v>
      </c>
      <c r="N12" s="41">
        <f t="shared" si="0"/>
        <v>3.2479999999999998</v>
      </c>
      <c r="O12" s="42">
        <f t="shared" si="1"/>
        <v>81.199999999999989</v>
      </c>
      <c r="P12" s="43">
        <f t="shared" si="2"/>
        <v>34.266399999999997</v>
      </c>
      <c r="Q12" s="44">
        <f t="shared" si="3"/>
        <v>5016.6789608719409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49"/>
      <c r="AR12" s="49"/>
      <c r="AS12" s="49"/>
      <c r="AT12" s="49"/>
      <c r="AU12" s="49"/>
      <c r="AV12" s="49"/>
      <c r="AW12" s="49"/>
      <c r="AX12" s="49"/>
    </row>
    <row r="13" spans="1:50" s="38" customFormat="1" ht="91.5" customHeight="1" x14ac:dyDescent="0.25">
      <c r="A13" s="33">
        <v>4</v>
      </c>
      <c r="B13" s="33"/>
      <c r="C13" s="34"/>
      <c r="D13" s="35"/>
      <c r="E13" s="11">
        <v>988</v>
      </c>
      <c r="F13" s="34" t="s">
        <v>33</v>
      </c>
      <c r="G13" s="36"/>
      <c r="H13" s="37" t="s">
        <v>39</v>
      </c>
      <c r="I13" s="38">
        <v>25</v>
      </c>
      <c r="J13" s="38">
        <v>25</v>
      </c>
      <c r="K13" s="39" t="s">
        <v>3</v>
      </c>
      <c r="L13" s="37" t="s">
        <v>38</v>
      </c>
      <c r="M13" s="40">
        <v>2.9</v>
      </c>
      <c r="N13" s="41">
        <f>(M13)+12%*M13</f>
        <v>3.2479999999999998</v>
      </c>
      <c r="O13" s="42">
        <f>N13*J13</f>
        <v>81.199999999999989</v>
      </c>
      <c r="P13" s="43">
        <f>O13*VLOOKUP(K13,$P$2:$Q$6,2,FALSE)</f>
        <v>34.266399999999997</v>
      </c>
      <c r="Q13" s="44">
        <f>(INDEX($R$2:$R$6,MATCH(K13,$P$2:$P$6,0))/31.103)*P13</f>
        <v>5016.6789608719409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49"/>
      <c r="AR13" s="49"/>
      <c r="AS13" s="49"/>
      <c r="AT13" s="49"/>
      <c r="AU13" s="49"/>
      <c r="AV13" s="49"/>
      <c r="AW13" s="49"/>
      <c r="AX13" s="49"/>
    </row>
    <row r="14" spans="1:50" ht="18.75" x14ac:dyDescent="0.25">
      <c r="A14" s="12" t="s">
        <v>40</v>
      </c>
      <c r="B14" s="12"/>
      <c r="C14" s="12"/>
      <c r="D14" s="12"/>
      <c r="E14" s="12"/>
      <c r="F14" s="12"/>
      <c r="G14" s="12"/>
      <c r="H14" s="12"/>
      <c r="I14" s="12"/>
      <c r="J14" s="46">
        <f>SUM(J10:J13)</f>
        <v>100</v>
      </c>
      <c r="K14" s="46"/>
      <c r="L14" s="46"/>
      <c r="M14" s="47">
        <f>SUM(M10:M13)</f>
        <v>11.6</v>
      </c>
      <c r="N14" s="47">
        <f>SUM(N10:N13)</f>
        <v>12.991999999999999</v>
      </c>
      <c r="O14" s="47">
        <f>SUM(O10:O13)</f>
        <v>324.79999999999995</v>
      </c>
      <c r="P14" s="47">
        <f>SUM(P10:P13)</f>
        <v>137.06559999999999</v>
      </c>
      <c r="Q14" s="48">
        <f>SUM(Q10:Q13)</f>
        <v>20066.715843487764</v>
      </c>
      <c r="U14" s="7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</row>
    <row r="15" spans="1:50" ht="15.75" x14ac:dyDescent="0.25">
      <c r="Q15" s="48"/>
      <c r="U15" s="7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</row>
    <row r="16" spans="1:50" ht="15.75" x14ac:dyDescent="0.25">
      <c r="Q16" s="48"/>
      <c r="U16" s="7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</row>
    <row r="17" spans="21:21" x14ac:dyDescent="0.25">
      <c r="U17" s="7"/>
    </row>
    <row r="18" spans="21:21" x14ac:dyDescent="0.25">
      <c r="U18" s="7"/>
    </row>
    <row r="19" spans="21:21" x14ac:dyDescent="0.25">
      <c r="U19" s="7"/>
    </row>
  </sheetData>
  <autoFilter ref="A9:P14" xr:uid="{00000000-0001-0000-0000-000000000000}"/>
  <mergeCells count="17">
    <mergeCell ref="I7:L7"/>
    <mergeCell ref="M7:O7"/>
    <mergeCell ref="A14:I14"/>
    <mergeCell ref="A4:H6"/>
    <mergeCell ref="I4:L4"/>
    <mergeCell ref="M4:O4"/>
    <mergeCell ref="I5:L5"/>
    <mergeCell ref="M5:O5"/>
    <mergeCell ref="I6:L6"/>
    <mergeCell ref="M6:O6"/>
    <mergeCell ref="A1:J1"/>
    <mergeCell ref="K1:O1"/>
    <mergeCell ref="P1:R1"/>
    <mergeCell ref="A2:O2"/>
    <mergeCell ref="A3:H3"/>
    <mergeCell ref="I3:L3"/>
    <mergeCell ref="M3:O3"/>
  </mergeCells>
  <conditionalFormatting sqref="C10:C13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</conditionalFormatting>
  <conditionalFormatting sqref="C9:C13">
    <cfRule type="duplicateValues" dxfId="7" priority="11"/>
    <cfRule type="duplicateValues" dxfId="6" priority="12"/>
    <cfRule type="duplicateValues" dxfId="5" priority="13"/>
    <cfRule type="duplicateValues" dxfId="4" priority="14"/>
    <cfRule type="duplicateValues" dxfId="3" priority="15"/>
    <cfRule type="duplicateValues" dxfId="2" priority="16"/>
    <cfRule type="duplicateValues" dxfId="1" priority="17"/>
    <cfRule type="duplicateValues" dxfId="0" priority="18"/>
  </conditionalFormatting>
  <dataValidations count="1">
    <dataValidation type="list" allowBlank="1" showInputMessage="1" showErrorMessage="1" sqref="K10:K13" xr:uid="{B76ADC89-85A4-48B0-8BFD-E48B7BB931B9}">
      <formula1>$P$2:$P$6</formula1>
    </dataValidation>
  </dataValidations>
  <pageMargins left="0.7" right="0.7" top="0.75" bottom="0.75" header="0.3" footer="0.3"/>
  <pageSetup scale="2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988 10K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Anishka Sanghavi</dc:creator>
  <cp:lastModifiedBy>Anishka Sanghavi</cp:lastModifiedBy>
  <dcterms:created xsi:type="dcterms:W3CDTF">2026-05-15T17:01:51Z</dcterms:created>
  <dcterms:modified xsi:type="dcterms:W3CDTF">2026-05-15T17:03:11Z</dcterms:modified>
</cp:coreProperties>
</file>