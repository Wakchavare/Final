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ival.Shah\Downloads\"/>
    </mc:Choice>
  </mc:AlternateContent>
  <xr:revisionPtr revIDLastSave="0" documentId="8_{3CBB4474-E40E-48BD-8C1F-298A660ABD22}" xr6:coauthVersionLast="47" xr6:coauthVersionMax="47" xr10:uidLastSave="{00000000-0000-0000-0000-000000000000}"/>
  <bookViews>
    <workbookView xWindow="-38520" yWindow="-120" windowWidth="38640" windowHeight="21120" firstSheet="1" activeTab="1" xr2:uid="{00000000-000D-0000-FFFF-FFFF00000000}"/>
  </bookViews>
  <sheets>
    <sheet name="source" sheetId="8" state="hidden" r:id="rId1"/>
    <sheet name="Sheet1" sheetId="11" r:id="rId2"/>
  </sheets>
  <definedNames>
    <definedName name="_xlnm._FilterDatabase" localSheetId="1" hidden="1">Sheet1!$B$17:$S$17</definedName>
    <definedName name="metal_type2_list">metal_type2[metal_type2]</definedName>
    <definedName name="platinum_list">platinum[platinum]</definedName>
    <definedName name="_xlnm.Print_Titles" localSheetId="1">Sheet1!$17:$17</definedName>
    <definedName name="silver_list">silver[silver]</definedName>
    <definedName name="vendor_name2_list">vendor_name2[vendor_name2]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8" l="1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17" i="8"/>
  <c r="P17" i="8"/>
  <c r="R17" i="8" s="1"/>
  <c r="P21" i="8"/>
  <c r="R21" i="8" s="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N18" i="11"/>
  <c r="N20" i="11"/>
  <c r="P20" i="11" s="1"/>
  <c r="N21" i="11"/>
  <c r="P21" i="11" s="1"/>
  <c r="N22" i="11"/>
  <c r="P22" i="11" s="1"/>
  <c r="N23" i="11"/>
  <c r="N24" i="11"/>
  <c r="N25" i="11"/>
  <c r="N26" i="11"/>
  <c r="N27" i="11"/>
  <c r="N28" i="11"/>
  <c r="P28" i="11" s="1"/>
  <c r="N29" i="11"/>
  <c r="N30" i="11"/>
  <c r="N31" i="11"/>
  <c r="P31" i="11" s="1"/>
  <c r="N32" i="11"/>
  <c r="P32" i="11" s="1"/>
  <c r="N33" i="11"/>
  <c r="N34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L3" i="11"/>
  <c r="L4" i="11" s="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P30" i="11" l="1"/>
  <c r="Q30" i="11" s="1"/>
  <c r="P26" i="11"/>
  <c r="R26" i="11" s="1"/>
  <c r="P25" i="11"/>
  <c r="P23" i="11"/>
  <c r="R23" i="11" s="1"/>
  <c r="P29" i="11"/>
  <c r="R29" i="11" s="1"/>
  <c r="P18" i="11"/>
  <c r="R18" i="11" s="1"/>
  <c r="P27" i="11"/>
  <c r="Q27" i="11" s="1"/>
  <c r="P34" i="11"/>
  <c r="P33" i="11"/>
  <c r="Q33" i="11" s="1"/>
  <c r="P24" i="11"/>
  <c r="R24" i="11" s="1"/>
  <c r="Q31" i="11"/>
  <c r="R31" i="11"/>
  <c r="R34" i="11"/>
  <c r="Q34" i="11"/>
  <c r="R25" i="11"/>
  <c r="Q25" i="11"/>
  <c r="R32" i="11"/>
  <c r="Q32" i="11"/>
  <c r="R22" i="11"/>
  <c r="Q22" i="11"/>
  <c r="R20" i="11"/>
  <c r="Q20" i="11"/>
  <c r="R21" i="11"/>
  <c r="Q21" i="11"/>
  <c r="R28" i="11"/>
  <c r="Q28" i="11"/>
  <c r="L8" i="11"/>
  <c r="L7" i="11"/>
  <c r="L6" i="11"/>
  <c r="L5" i="11"/>
  <c r="R30" i="11" l="1"/>
  <c r="Q26" i="11"/>
  <c r="R33" i="11"/>
  <c r="Q23" i="11"/>
  <c r="Q24" i="11"/>
  <c r="Q29" i="11"/>
  <c r="R27" i="11"/>
  <c r="Q18" i="11"/>
  <c r="P40" i="8"/>
  <c r="P34" i="8"/>
  <c r="P38" i="8"/>
  <c r="P32" i="8"/>
  <c r="P33" i="8"/>
  <c r="P36" i="8"/>
  <c r="P39" i="8"/>
  <c r="P35" i="8"/>
  <c r="P22" i="8"/>
  <c r="P18" i="8"/>
  <c r="P19" i="8"/>
  <c r="P20" i="8"/>
  <c r="P37" i="8"/>
  <c r="P41" i="8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L73" i="11"/>
  <c r="B81" i="11"/>
  <c r="K73" i="11"/>
  <c r="R41" i="8" l="1"/>
  <c r="R37" i="8"/>
  <c r="R20" i="8"/>
  <c r="R19" i="8"/>
  <c r="R18" i="8"/>
  <c r="N19" i="11" s="1"/>
  <c r="P19" i="11" s="1"/>
  <c r="R22" i="8"/>
  <c r="R35" i="8"/>
  <c r="R32" i="8"/>
  <c r="R39" i="8"/>
  <c r="R38" i="8"/>
  <c r="R36" i="8"/>
  <c r="R34" i="8"/>
  <c r="R33" i="8"/>
  <c r="R40" i="8"/>
  <c r="B79" i="11"/>
  <c r="M73" i="11"/>
  <c r="R19" i="11" l="1"/>
  <c r="Q19" i="11"/>
  <c r="I16" i="11"/>
  <c r="P24" i="8" l="1"/>
  <c r="R24" i="8" s="1"/>
  <c r="P25" i="8"/>
  <c r="R25" i="8" s="1"/>
  <c r="P31" i="8"/>
  <c r="R31" i="8" s="1"/>
  <c r="P27" i="8"/>
  <c r="R27" i="8" s="1"/>
  <c r="P30" i="8"/>
  <c r="R30" i="8" s="1"/>
  <c r="P29" i="8"/>
  <c r="R29" i="8" s="1"/>
  <c r="P23" i="8"/>
  <c r="R23" i="8" s="1"/>
  <c r="P26" i="8"/>
  <c r="R26" i="8" s="1"/>
  <c r="P28" i="8"/>
  <c r="R28" i="8" s="1"/>
  <c r="N73" i="11" l="1"/>
  <c r="O69" i="11"/>
  <c r="P69" i="11" s="1"/>
  <c r="O57" i="11"/>
  <c r="P57" i="11" s="1"/>
  <c r="O45" i="11"/>
  <c r="P45" i="11" s="1"/>
  <c r="O46" i="11"/>
  <c r="P46" i="11" s="1"/>
  <c r="O68" i="11"/>
  <c r="P68" i="11" s="1"/>
  <c r="O56" i="11"/>
  <c r="P56" i="11" s="1"/>
  <c r="O44" i="11"/>
  <c r="P44" i="11" s="1"/>
  <c r="O67" i="11"/>
  <c r="P67" i="11" s="1"/>
  <c r="O55" i="11"/>
  <c r="P55" i="11" s="1"/>
  <c r="O43" i="11"/>
  <c r="P43" i="11" s="1"/>
  <c r="O66" i="11"/>
  <c r="P66" i="11" s="1"/>
  <c r="O54" i="11"/>
  <c r="P54" i="11" s="1"/>
  <c r="O42" i="11"/>
  <c r="P42" i="11" s="1"/>
  <c r="O58" i="11"/>
  <c r="P58" i="11" s="1"/>
  <c r="O65" i="11"/>
  <c r="P65" i="11" s="1"/>
  <c r="O53" i="11"/>
  <c r="P53" i="11" s="1"/>
  <c r="O41" i="11"/>
  <c r="P41" i="11" s="1"/>
  <c r="O59" i="11"/>
  <c r="P59" i="11" s="1"/>
  <c r="O64" i="11"/>
  <c r="P64" i="11" s="1"/>
  <c r="O52" i="11"/>
  <c r="P52" i="11" s="1"/>
  <c r="O40" i="11"/>
  <c r="P40" i="11" s="1"/>
  <c r="O63" i="11"/>
  <c r="P63" i="11" s="1"/>
  <c r="O51" i="11"/>
  <c r="P51" i="11" s="1"/>
  <c r="O39" i="11"/>
  <c r="P39" i="11" s="1"/>
  <c r="O35" i="11"/>
  <c r="P35" i="11" s="1"/>
  <c r="O62" i="11"/>
  <c r="P62" i="11" s="1"/>
  <c r="O50" i="11"/>
  <c r="P50" i="11" s="1"/>
  <c r="O38" i="11"/>
  <c r="P38" i="11" s="1"/>
  <c r="O71" i="11"/>
  <c r="P71" i="11" s="1"/>
  <c r="O61" i="11"/>
  <c r="P61" i="11" s="1"/>
  <c r="O49" i="11"/>
  <c r="P49" i="11" s="1"/>
  <c r="O37" i="11"/>
  <c r="P37" i="11" s="1"/>
  <c r="O47" i="11"/>
  <c r="P47" i="11" s="1"/>
  <c r="O70" i="11"/>
  <c r="P70" i="11" s="1"/>
  <c r="O72" i="11"/>
  <c r="P72" i="11" s="1"/>
  <c r="O60" i="11"/>
  <c r="P60" i="11" s="1"/>
  <c r="O48" i="11"/>
  <c r="P48" i="11" s="1"/>
  <c r="O36" i="11"/>
  <c r="P36" i="11" s="1"/>
  <c r="P73" i="11" l="1"/>
  <c r="P74" i="11" s="1"/>
  <c r="R57" i="11"/>
  <c r="Q57" i="11"/>
  <c r="Q69" i="11"/>
  <c r="R69" i="11"/>
  <c r="Q61" i="11"/>
  <c r="R61" i="11"/>
  <c r="Q59" i="11"/>
  <c r="R59" i="11"/>
  <c r="Q55" i="11"/>
  <c r="R55" i="11"/>
  <c r="Q54" i="11"/>
  <c r="R54" i="11"/>
  <c r="R45" i="11"/>
  <c r="Q45" i="11"/>
  <c r="Q36" i="11"/>
  <c r="R36" i="11"/>
  <c r="Q62" i="11"/>
  <c r="R62" i="11"/>
  <c r="Q41" i="11"/>
  <c r="R41" i="11"/>
  <c r="R67" i="11"/>
  <c r="Q67" i="11"/>
  <c r="Q71" i="11"/>
  <c r="R71" i="11"/>
  <c r="R50" i="11"/>
  <c r="Q50" i="11"/>
  <c r="R53" i="11"/>
  <c r="Q53" i="11"/>
  <c r="R66" i="11"/>
  <c r="Q66" i="11"/>
  <c r="R64" i="11"/>
  <c r="Q64" i="11"/>
  <c r="Q60" i="11"/>
  <c r="R60" i="11"/>
  <c r="Q35" i="11"/>
  <c r="R35" i="11"/>
  <c r="Q72" i="11"/>
  <c r="R72" i="11"/>
  <c r="R65" i="11"/>
  <c r="Q65" i="11"/>
  <c r="Q44" i="11"/>
  <c r="R44" i="11"/>
  <c r="Q49" i="11"/>
  <c r="R49" i="11"/>
  <c r="Q40" i="11"/>
  <c r="R40" i="11"/>
  <c r="Q43" i="11"/>
  <c r="R43" i="11"/>
  <c r="R48" i="11"/>
  <c r="Q48" i="11"/>
  <c r="R70" i="11"/>
  <c r="Q70" i="11"/>
  <c r="Q39" i="11"/>
  <c r="R39" i="11"/>
  <c r="R58" i="11"/>
  <c r="Q58" i="11"/>
  <c r="R56" i="11"/>
  <c r="Q56" i="11"/>
  <c r="Q52" i="11"/>
  <c r="R52" i="11"/>
  <c r="R38" i="11"/>
  <c r="Q38" i="11"/>
  <c r="Q47" i="11"/>
  <c r="R47" i="11"/>
  <c r="R51" i="11"/>
  <c r="Q51" i="11"/>
  <c r="Q68" i="11"/>
  <c r="R68" i="11"/>
  <c r="Q37" i="11"/>
  <c r="R37" i="11"/>
  <c r="R63" i="11"/>
  <c r="Q63" i="11"/>
  <c r="R42" i="11"/>
  <c r="Q42" i="11"/>
  <c r="Q46" i="11"/>
  <c r="R46" i="11"/>
  <c r="O73" i="11"/>
</calcChain>
</file>

<file path=xl/sharedStrings.xml><?xml version="1.0" encoding="utf-8"?>
<sst xmlns="http://schemas.openxmlformats.org/spreadsheetml/2006/main" count="266" uniqueCount="161">
  <si>
    <t>Diaspark_Vendor</t>
  </si>
  <si>
    <t>Diaspark</t>
  </si>
  <si>
    <t xml:space="preserve">Vendor code </t>
  </si>
  <si>
    <t>Codes</t>
  </si>
  <si>
    <t>Vendor_Name</t>
  </si>
  <si>
    <t>vendor_name2</t>
  </si>
  <si>
    <t>ship_nm</t>
  </si>
  <si>
    <t>ship_contact_nm</t>
  </si>
  <si>
    <t>ship_address1</t>
  </si>
  <si>
    <t>ship_address2</t>
  </si>
  <si>
    <t>ship_city</t>
  </si>
  <si>
    <t>ship_state</t>
  </si>
  <si>
    <t>ship_country</t>
  </si>
  <si>
    <t>ship_zip</t>
  </si>
  <si>
    <t>ship_phone</t>
  </si>
  <si>
    <t>ship_fax</t>
  </si>
  <si>
    <t>CP</t>
  </si>
  <si>
    <t>CP-E00101</t>
  </si>
  <si>
    <t>ELEGANT COLLECTION</t>
  </si>
  <si>
    <t>PRASAD RAUT</t>
  </si>
  <si>
    <t>PLOT NO: 56/A</t>
  </si>
  <si>
    <t>SEEPZ-SEZ, ANDHERI - EAST</t>
  </si>
  <si>
    <t>MUMBAI</t>
  </si>
  <si>
    <t>MAHARASHTRA</t>
  </si>
  <si>
    <t>INDIA</t>
  </si>
  <si>
    <t>+91 (22) 6640 0909</t>
  </si>
  <si>
    <t>KSD</t>
  </si>
  <si>
    <t>SD-UDE034</t>
  </si>
  <si>
    <t>JEWEL ONE</t>
  </si>
  <si>
    <t>SARIKA NAMBIAR</t>
  </si>
  <si>
    <t>PLOT NO: 164, ROAD NO: 4, SURAT-SEZ</t>
  </si>
  <si>
    <t>NEAR SACHIN RAILWAY STATION</t>
  </si>
  <si>
    <t>SURAT</t>
  </si>
  <si>
    <t>GUJARAT</t>
  </si>
  <si>
    <t>+91 (261) 6111 333</t>
  </si>
  <si>
    <t>LG</t>
  </si>
  <si>
    <t>KAMA JEWELRY PVT. LTD.</t>
  </si>
  <si>
    <t>APARNA CHAUGHULE</t>
  </si>
  <si>
    <t>UNIT-II, 601-604, MULTISTORIED BUILDING</t>
  </si>
  <si>
    <t>+91 (22) 4344 1000</t>
  </si>
  <si>
    <t>CP-J00301</t>
  </si>
  <si>
    <t>KAMA JEWELRY PVT LTD</t>
  </si>
  <si>
    <t>J210</t>
  </si>
  <si>
    <t>KIRAN JEWELRY</t>
  </si>
  <si>
    <t>RANJEET GUPTA</t>
  </si>
  <si>
    <t>PLOT NO: 28, 59/60, SURAT-SEZ</t>
  </si>
  <si>
    <t>+91 (261) 6111 200</t>
  </si>
  <si>
    <t>LG-J004</t>
  </si>
  <si>
    <t>SELECT VENDOR</t>
  </si>
  <si>
    <t>CP-K00102</t>
  </si>
  <si>
    <t>SD-K016</t>
  </si>
  <si>
    <t>SD-K017</t>
  </si>
  <si>
    <t>LG-K003</t>
  </si>
  <si>
    <t>LG-K005</t>
  </si>
  <si>
    <t>CP-K00104</t>
  </si>
  <si>
    <t>K069</t>
  </si>
  <si>
    <t>LG-K013</t>
  </si>
  <si>
    <t>metal_type2</t>
  </si>
  <si>
    <t>metal_type</t>
  </si>
  <si>
    <t>metal</t>
  </si>
  <si>
    <t>description</t>
  </si>
  <si>
    <t>metal_purity</t>
  </si>
  <si>
    <t>gram_per_ounce</t>
  </si>
  <si>
    <t>pg_divisor</t>
  </si>
  <si>
    <t>metal_rate</t>
  </si>
  <si>
    <t>rate_purity</t>
  </si>
  <si>
    <t>metal_rate_per_gram</t>
  </si>
  <si>
    <t>CP-K00101</t>
  </si>
  <si>
    <t>9KT</t>
  </si>
  <si>
    <t>GOLD</t>
  </si>
  <si>
    <t>SD-UDK024</t>
  </si>
  <si>
    <t>10KT</t>
  </si>
  <si>
    <t>14KT</t>
  </si>
  <si>
    <t>CP-S00106</t>
  </si>
  <si>
    <t>18KT</t>
  </si>
  <si>
    <t>S137</t>
  </si>
  <si>
    <t>22KT</t>
  </si>
  <si>
    <t>LG-S014</t>
  </si>
  <si>
    <t>PLATINUM</t>
  </si>
  <si>
    <t>24KT</t>
  </si>
  <si>
    <t>CP-UJ00101</t>
  </si>
  <si>
    <t>SILVER</t>
  </si>
  <si>
    <t>950 PLAT</t>
  </si>
  <si>
    <t>U031</t>
  </si>
  <si>
    <t>SILVER - 925</t>
  </si>
  <si>
    <t>950 PLATINUM</t>
  </si>
  <si>
    <t>LG-U015</t>
  </si>
  <si>
    <t>950 PT</t>
  </si>
  <si>
    <t>PLAT</t>
  </si>
  <si>
    <t>PLAT 950</t>
  </si>
  <si>
    <t>platinum</t>
  </si>
  <si>
    <t>PLATINUM 950</t>
  </si>
  <si>
    <t>PT</t>
  </si>
  <si>
    <t>PT 950</t>
  </si>
  <si>
    <t>925 SILV</t>
  </si>
  <si>
    <t>925 SILVER</t>
  </si>
  <si>
    <t>925 STERLING SILVER</t>
  </si>
  <si>
    <t>SILV</t>
  </si>
  <si>
    <t>SILV 925</t>
  </si>
  <si>
    <t>SILVER 925</t>
  </si>
  <si>
    <t>STERLING SILVER</t>
  </si>
  <si>
    <t>STERLING SILVER 925</t>
  </si>
  <si>
    <t>silver</t>
  </si>
  <si>
    <t>INVOICE</t>
  </si>
  <si>
    <t>FROM :</t>
  </si>
  <si>
    <t>SHIP TO :</t>
  </si>
  <si>
    <t>FROM  :</t>
  </si>
  <si>
    <t>UNIQUE DESIGNS INC</t>
  </si>
  <si>
    <t>UNIQUE DESIGNS INC FACTORY</t>
  </si>
  <si>
    <t>425 MEADOWLANDS PARKWAY 2ND FLOOR</t>
  </si>
  <si>
    <t>SECAUCUS, NJ 07094 USA</t>
  </si>
  <si>
    <t>TEL : +1 (212) 575-7701</t>
  </si>
  <si>
    <t>UDF INVOICE NO :</t>
  </si>
  <si>
    <t>INVOICE NO :</t>
  </si>
  <si>
    <t>UDF INVOICE DATE :</t>
  </si>
  <si>
    <t>INVOICE DATE :</t>
  </si>
  <si>
    <t>MODE OF SHIPMENT :</t>
  </si>
  <si>
    <t>MALCA-AMIT</t>
  </si>
  <si>
    <t>LABOR RATE PER GRAM</t>
  </si>
  <si>
    <t>COUNTRY OF ORIGIN :</t>
  </si>
  <si>
    <t>USA</t>
  </si>
  <si>
    <t>PAYMENT TERMS :</t>
  </si>
  <si>
    <t>15 DAYS</t>
  </si>
  <si>
    <t>LN #</t>
  </si>
  <si>
    <t>WORK ORDER #</t>
  </si>
  <si>
    <t>VPO #</t>
  </si>
  <si>
    <t>VENDOR NAME</t>
  </si>
  <si>
    <t>STYLE #</t>
  </si>
  <si>
    <t>VENDOR STYLE #</t>
  </si>
  <si>
    <t>PRODUCT TYPE</t>
  </si>
  <si>
    <t>DESCRIPTION</t>
  </si>
  <si>
    <t>METAL TYPE</t>
  </si>
  <si>
    <t>TOTAL QUANTITY</t>
  </si>
  <si>
    <t>TOTAL WT.(GRAM)</t>
  </si>
  <si>
    <t>TOTAL WT. IN PG(GRAM)</t>
  </si>
  <si>
    <t>TOTAL METAL VALUE</t>
  </si>
  <si>
    <t>TOTAL LABOR VALUE</t>
  </si>
  <si>
    <t>TOTAL VALUE</t>
  </si>
  <si>
    <t>PRICE PER GRAM</t>
  </si>
  <si>
    <t>PRICE PER UNIT</t>
  </si>
  <si>
    <t>REMARKS</t>
  </si>
  <si>
    <t>TOTAL</t>
  </si>
  <si>
    <t>TOTAL CIF VALUE US $</t>
  </si>
  <si>
    <t>EXPORTED FOR SETTING, POLISHING AND FINISHING</t>
  </si>
  <si>
    <t>BANK DETAILS</t>
  </si>
  <si>
    <t>BENEFICIARY NAME:</t>
  </si>
  <si>
    <t>UNIQUE DESIGNS, INC.</t>
  </si>
  <si>
    <t>BENEFICIARY ADDRESS:</t>
  </si>
  <si>
    <t>425 MEADOWLANDS PARKWAY</t>
  </si>
  <si>
    <t>2ND FLOOR</t>
  </si>
  <si>
    <t>DEPOSIT A/C :</t>
  </si>
  <si>
    <t>100 168 0936</t>
  </si>
  <si>
    <t>ROUTING NUMBER:</t>
  </si>
  <si>
    <t>021 313 103</t>
  </si>
  <si>
    <t>SWIFT NUMBER:</t>
  </si>
  <si>
    <t>CTZIUS33</t>
  </si>
  <si>
    <t>BANK ADDRESS:</t>
  </si>
  <si>
    <t>CITIZENS BANK</t>
  </si>
  <si>
    <t>1 CITIZENS DRIVE,</t>
  </si>
  <si>
    <t>AUTHORISED SIGNATORY</t>
  </si>
  <si>
    <t>RIVERSIDE, RI 02915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</si>
</sst>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* #,##0.0000_);_(* \(#,##0.0000\);_(* &quot;-&quot;??_);_(@_)"/>
    <numFmt numFmtId="166" formatCode="_(* #,##0.000_);_(* \(#,##0.000\);_(* &quot;-&quot;??_);_(@_)"/>
  </numFmts>
  <fonts count="1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1"/>
      <name val="Aptos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22"/>
      <name val="Apto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2" fillId="0" borderId="0"/>
    <xf numFmtId="44" fontId="2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3" fontId="6" fillId="0" borderId="1" xfId="11" applyFont="1" applyFill="1" applyBorder="1" applyAlignment="1">
      <alignment horizontal="center" vertical="center"/>
    </xf>
    <xf numFmtId="43" fontId="6" fillId="0" borderId="0" xfId="1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44" fontId="6" fillId="0" borderId="1" xfId="1" applyFont="1" applyFill="1" applyBorder="1" applyAlignment="1">
      <alignment horizontal="center" vertical="center"/>
    </xf>
    <xf numFmtId="44" fontId="7" fillId="0" borderId="1" xfId="1" applyFont="1" applyFill="1" applyBorder="1" applyAlignment="1">
      <alignment vertical="center"/>
    </xf>
    <xf numFmtId="43" fontId="7" fillId="0" borderId="2" xfId="1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6" fontId="6" fillId="0" borderId="1" xfId="11" applyNumberFormat="1" applyFont="1" applyFill="1" applyBorder="1" applyAlignment="1">
      <alignment horizontal="center" vertical="center"/>
    </xf>
    <xf numFmtId="166" fontId="7" fillId="0" borderId="2" xfId="11" applyNumberFormat="1" applyFont="1" applyFill="1" applyBorder="1" applyAlignment="1">
      <alignment horizontal="center" vertical="center"/>
    </xf>
    <xf numFmtId="44" fontId="7" fillId="0" borderId="2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39" fontId="6" fillId="0" borderId="0" xfId="1" applyNumberFormat="1" applyFont="1" applyBorder="1" applyAlignment="1">
      <alignment horizontal="left" vertical="center"/>
    </xf>
    <xf numFmtId="43" fontId="6" fillId="0" borderId="0" xfId="11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44" fontId="6" fillId="0" borderId="0" xfId="1" applyFont="1" applyAlignment="1">
      <alignment vertical="center"/>
    </xf>
    <xf numFmtId="0" fontId="6" fillId="0" borderId="1" xfId="11" applyNumberFormat="1" applyFont="1" applyFill="1" applyBorder="1" applyAlignment="1">
      <alignment horizontal="center" vertical="center"/>
    </xf>
    <xf numFmtId="44" fontId="0" fillId="0" borderId="0" xfId="0" applyNumberFormat="1"/>
    <xf numFmtId="0" fontId="10" fillId="0" borderId="0" xfId="0" applyFont="1"/>
    <xf numFmtId="44" fontId="0" fillId="0" borderId="0" xfId="1" applyFont="1" applyAlignment="1"/>
    <xf numFmtId="165" fontId="0" fillId="0" borderId="0" xfId="11" applyNumberFormat="1" applyFont="1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6" fillId="0" borderId="0" xfId="0" applyFont="1" applyAlignment="1">
      <alignment horizontal="left" vertical="center" wrapText="1"/>
    </xf>
  </cellXfs>
  <cellStyles count="13">
    <cellStyle name="Comma" xfId="11" builtinId="3"/>
    <cellStyle name="Currency" xfId="1" builtinId="4"/>
    <cellStyle name="Currency 2" xfId="4" xr:uid="{00000000-0005-0000-0000-000001000000}"/>
    <cellStyle name="Currency 2 2" xfId="10" xr:uid="{E4FBFBFD-23E1-45E7-BEAC-3645EAB77080}"/>
    <cellStyle name="Currency 2 2 2" xfId="12" xr:uid="{21B3D0DC-888C-4210-BCFA-F644536DDAE3}"/>
    <cellStyle name="Currency 3" xfId="8" xr:uid="{00000000-0005-0000-0000-000002000000}"/>
    <cellStyle name="Normal" xfId="0" builtinId="0"/>
    <cellStyle name="Normal 2" xfId="5" xr:uid="{00000000-0005-0000-0000-000004000000}"/>
    <cellStyle name="Normal 2 2" xfId="7" xr:uid="{00000000-0005-0000-0000-000005000000}"/>
    <cellStyle name="Normal 3" xfId="3" xr:uid="{00000000-0005-0000-0000-000006000000}"/>
    <cellStyle name="Normal 3 2" xfId="9" xr:uid="{D05BCAA9-A88B-40A3-A83B-99D0E996E662}"/>
    <cellStyle name="Normal 4" xfId="6" xr:uid="{00000000-0005-0000-0000-000007000000}"/>
    <cellStyle name="Normal_LEO" xfId="2" xr:uid="{00000000-0005-0000-0000-000008000000}"/>
  </cellStyles>
  <dxfs count="45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_);_(* \(#,##0.0000\);_(* &quot;-&quot;??_);_(@_)"/>
      <alignment horizontal="general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center" textRotation="0" wrapText="0" indent="0" justifyLastLine="0" shrinkToFit="0" readingOrder="0"/>
    </dxf>
    <dxf>
      <numFmt numFmtId="165" formatCode="_(* #,##0.0000_);_(* \(#,##0.0000\);_(* &quot;-&quot;??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_(* #,##0.0000_);_(* \(#,##0.0000\);_(* &quot;-&quot;??_);_(@_)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44CEB-A006-4DE1-B06E-A64D061F5230}" name="address" displayName="address" ref="J2:S7" totalsRowShown="0" headerRowDxfId="42" dataDxfId="41">
  <autoFilter ref="J2:S7" xr:uid="{84944CEB-A006-4DE1-B06E-A64D061F5230}"/>
  <tableColumns count="10">
    <tableColumn id="7" xr3:uid="{8F08662A-4701-4253-BB76-45C5648F907A}" name="ship_nm" dataDxfId="40"/>
    <tableColumn id="8" xr3:uid="{A38F2B8E-12CC-4CD9-B8F0-C72776B37D38}" name="ship_contact_nm" dataDxfId="39"/>
    <tableColumn id="9" xr3:uid="{09A79C4C-E7F5-49C0-B6D1-31E6A4D90955}" name="ship_address1" dataDxfId="38"/>
    <tableColumn id="10" xr3:uid="{0737B59F-C0A9-4D45-B852-B0AB6CEA460A}" name="ship_address2" dataDxfId="37"/>
    <tableColumn id="11" xr3:uid="{96098BE8-7C64-4293-81AD-6846012E252B}" name="ship_city" dataDxfId="36"/>
    <tableColumn id="12" xr3:uid="{F5ED25D0-1B2C-42BD-B631-8B6E1559BD9D}" name="ship_state" dataDxfId="35"/>
    <tableColumn id="13" xr3:uid="{DB113977-D19F-4231-9CA9-9656E92069D7}" name="ship_country" dataDxfId="34"/>
    <tableColumn id="14" xr3:uid="{B45D7BB6-6505-47F6-8ECC-26E99A2CB0E4}" name="ship_zip" dataDxfId="33"/>
    <tableColumn id="15" xr3:uid="{C25EC6DE-4388-4923-AC94-A954FFC5392F}" name="ship_phone" dataDxfId="32"/>
    <tableColumn id="16" xr3:uid="{52B4266A-B060-47C4-B59E-709C33AB412E}" name="ship_fax" dataDxfId="3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14163-1C62-4B56-BF4D-D16C0BCD4798}" name="metal_type" displayName="metal_type" ref="J16:R41" totalsRowShown="0" headerRowDxfId="30" dataDxfId="29">
  <autoFilter ref="J16:R41" xr:uid="{53F14163-1C62-4B56-BF4D-D16C0BCD4798}"/>
  <sortState xmlns:xlrd2="http://schemas.microsoft.com/office/spreadsheetml/2017/richdata2" ref="J17:P41">
    <sortCondition ref="K16:K41"/>
  </sortState>
  <tableColumns count="9">
    <tableColumn id="1" xr3:uid="{0DA698BC-5D27-4CA6-A988-4093115D6A76}" name="metal_type" dataDxfId="28"/>
    <tableColumn id="2" xr3:uid="{ED88F87C-5CD9-4D5E-ACA6-7B0496233E57}" name="metal" dataDxfId="27"/>
    <tableColumn id="3" xr3:uid="{C87BFFDA-2C7F-42CF-8156-F22C22509EA2}" name="description" dataDxfId="26">
      <calculatedColumnFormula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calculatedColumnFormula>
    </tableColumn>
    <tableColumn id="5" xr3:uid="{B9D6089B-24DE-4C25-8087-8D9600BF1468}" name="metal_purity" dataDxfId="25" dataCellStyle="Comma"/>
    <tableColumn id="6" xr3:uid="{C780F116-43E7-4CF3-96ED-BEDE83061313}" name="gram_per_ounce" dataDxfId="24"/>
    <tableColumn id="4" xr3:uid="{5C960000-D056-46A6-8263-2E8158AD3076}" name="pg_divisor" dataDxfId="23" dataCellStyle="Comma"/>
    <tableColumn id="7" xr3:uid="{1E7B8FDD-63D2-420A-861D-4CDD3CF68CD0}" name="metal_rate" dataDxfId="22" dataCellStyle="Currency">
      <calculatedColumnFormula>IF(metal_type[[#This Row],[metal]]="GOLD",Sheet1!$O$12,IF(metal_type[[#This Row],[metal]]="PLATINUM",Sheet1!$O$13,IF(metal_type[[#This Row],[metal]]="SILVER",Sheet1!$O$14,IF(metal_type[[#This Row],[metal]]="SILVER - 925",Sheet1!$O$14,""))))</calculatedColumnFormula>
    </tableColumn>
    <tableColumn id="9" xr3:uid="{AB730282-469F-45B2-854A-63A97C60BAB3}" name="rate_purity" dataDxfId="21" dataCellStyle="Comma"/>
    <tableColumn id="8" xr3:uid="{8D2E83D1-71BD-4BAB-BE5E-4C661A452236}" name="metal_rate_per_gram" dataDxfId="20">
      <calculatedColumnFormula>(metal_type[[#This Row],[metal_rate]]/metal_type[[#This Row],[gram_per_ounce]])*metal_type[[#This Row],[rate_purity]]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047DFB-D01D-4F9D-856F-8F99C6A8D796}" name="metal_type2" displayName="metal_type2" ref="H16:H24" totalsRowShown="0" headerRowDxfId="19" dataDxfId="18">
  <autoFilter ref="H16:H24" xr:uid="{2C047DFB-D01D-4F9D-856F-8F99C6A8D796}"/>
  <sortState xmlns:xlrd2="http://schemas.microsoft.com/office/spreadsheetml/2017/richdata2" ref="H17:H41">
    <sortCondition ref="H16:H41"/>
  </sortState>
  <tableColumns count="1">
    <tableColumn id="1" xr3:uid="{359395FF-8DC2-47C2-ACBC-4D0B59B3470F}" name="metal_type2" dataDxfId="17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13E21-AD9B-4867-8B5D-645336DA6F40}" name="vendor_name2" displayName="vendor_name2" ref="H2:H8" totalsRowShown="0" headerRowDxfId="16" dataDxfId="15">
  <autoFilter ref="H2:H8" xr:uid="{14B13E21-AD9B-4867-8B5D-645336DA6F40}"/>
  <tableColumns count="1">
    <tableColumn id="1" xr3:uid="{E39676AF-3C26-42A4-8F76-D08756313D0E}" name="vendor_name2" dataDxfId="14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A84D83-4709-485D-ADEE-100C94D36D2F}" name="portal_vendor_code" displayName="portal_vendor_code" ref="B2:F25" totalsRowShown="0" headerRowDxfId="13" dataDxfId="12">
  <autoFilter ref="B2:F25" xr:uid="{B7A84D83-4709-485D-ADEE-100C94D36D2F}"/>
  <sortState xmlns:xlrd2="http://schemas.microsoft.com/office/spreadsheetml/2017/richdata2" ref="D3:E48">
    <sortCondition ref="E2:E48"/>
  </sortState>
  <tableColumns count="5">
    <tableColumn id="3" xr3:uid="{4CE6A663-F4DD-42D8-8726-5A4DBFB97693}" name="Diaspark_Vendor" dataDxfId="11">
      <calculatedColumnFormula>portal_vendor_code[[#This Row],[Diaspark]]&amp;portal_vendor_code[[#This Row],[Vendor code ]]</calculatedColumnFormula>
    </tableColumn>
    <tableColumn id="4" xr3:uid="{C5404800-9FC1-4C6C-8265-318A09DA7944}" name="Diaspark" dataDxfId="10"/>
    <tableColumn id="1" xr3:uid="{63F2E29E-C34C-4120-873B-582D0E592342}" name="Vendor code " dataDxfId="9"/>
    <tableColumn id="2" xr3:uid="{93F7AD30-1EA6-43C0-9E4E-7B50BC6FFA84}" name="Codes" dataDxfId="8"/>
    <tableColumn id="5" xr3:uid="{13A76B48-2E85-42FB-89DB-13AD0691742A}" name="Vendor_Name" dataDxfId="7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43DE66-3F42-4E9C-B302-828CAD0EDE2C}" name="platinum" displayName="platinum" ref="H29:H38" totalsRowShown="0" headerRowDxfId="6" dataDxfId="5">
  <autoFilter ref="H29:H38" xr:uid="{CB43DE66-3F42-4E9C-B302-828CAD0EDE2C}"/>
  <tableColumns count="1">
    <tableColumn id="1" xr3:uid="{2F46A948-5976-4D63-BDB5-986AEF4BBB4A}" name="platinum" dataDxfId="4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E5DEAD-6F05-4430-8F50-B44EC4AE28A0}" name="silver" displayName="silver" ref="H42:H52" totalsRowShown="0" headerRowDxfId="3" dataDxfId="2">
  <autoFilter ref="H42:H52" xr:uid="{DBE5DEAD-6F05-4430-8F50-B44EC4AE28A0}"/>
  <tableColumns count="1">
    <tableColumn id="1" xr3:uid="{9BB86C05-20A6-4FEE-875C-188E41F9CEA1}" name="silver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BF95-B8E3-4195-90AD-D9C96FF8BC16}">
  <sheetPr codeName="Sheet1">
    <pageSetUpPr fitToPage="1"/>
  </sheetPr>
  <dimension ref="B2:S52"/>
  <sheetViews>
    <sheetView showGridLines="0" workbookViewId="0">
      <selection activeCell="B2" sqref="B2"/>
    </sheetView>
  </sheetViews>
  <sheetFormatPr defaultRowHeight="15"/>
  <cols>
    <col min="1" max="1" width="9.140625" style="30"/>
    <col min="2" max="2" width="18.5703125" style="30" bestFit="1" customWidth="1"/>
    <col min="3" max="3" width="10.85546875" style="30" bestFit="1" customWidth="1"/>
    <col min="4" max="4" width="15" style="30" bestFit="1" customWidth="1"/>
    <col min="5" max="5" width="8.7109375" style="30" bestFit="1" customWidth="1"/>
    <col min="6" max="6" width="24.28515625" style="30" customWidth="1"/>
    <col min="7" max="7" width="9.140625" style="30" customWidth="1"/>
    <col min="8" max="8" width="23.42578125" style="30" bestFit="1" customWidth="1"/>
    <col min="9" max="9" width="9.140625" style="30" customWidth="1"/>
    <col min="10" max="10" width="23.42578125" style="30" bestFit="1" customWidth="1"/>
    <col min="11" max="11" width="20" style="30" bestFit="1" customWidth="1"/>
    <col min="12" max="12" width="38.5703125" style="30" bestFit="1" customWidth="1"/>
    <col min="13" max="13" width="30.28515625" style="30" bestFit="1" customWidth="1"/>
    <col min="14" max="14" width="18.28515625" style="30" bestFit="1" customWidth="1"/>
    <col min="15" max="15" width="14.85546875" style="30" bestFit="1" customWidth="1"/>
    <col min="16" max="16" width="14.7109375" style="30" bestFit="1" customWidth="1"/>
    <col min="17" max="17" width="13.140625" style="30" bestFit="1" customWidth="1"/>
    <col min="18" max="18" width="22.7109375" style="30" bestFit="1" customWidth="1"/>
    <col min="19" max="19" width="10.7109375" style="30" bestFit="1" customWidth="1"/>
    <col min="20" max="16384" width="9.140625" style="30"/>
  </cols>
  <sheetData>
    <row r="2" spans="2:19">
      <c r="B2" s="30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H2" s="30" t="s">
        <v>5</v>
      </c>
      <c r="J2" s="30" t="s">
        <v>6</v>
      </c>
      <c r="K2" s="30" t="s">
        <v>7</v>
      </c>
      <c r="L2" s="30" t="s">
        <v>8</v>
      </c>
      <c r="M2" s="30" t="s">
        <v>9</v>
      </c>
      <c r="N2" s="30" t="s">
        <v>10</v>
      </c>
      <c r="O2" s="30" t="s">
        <v>11</v>
      </c>
      <c r="P2" s="30" t="s">
        <v>12</v>
      </c>
      <c r="Q2" s="30" t="s">
        <v>13</v>
      </c>
      <c r="R2" s="30" t="s">
        <v>14</v>
      </c>
      <c r="S2" s="30" t="s">
        <v>15</v>
      </c>
    </row>
    <row r="3" spans="2:19">
      <c r="B3" s="30" t="str">
        <f>portal_vendor_code[[#This Row],[Diaspark]]&amp;portal_vendor_code[[#This Row],[Vendor code ]]</f>
        <v>CPCP-E00101</v>
      </c>
      <c r="C3" s="30" t="s">
        <v>16</v>
      </c>
      <c r="D3" s="30" t="s">
        <v>17</v>
      </c>
      <c r="E3" s="30">
        <v>1</v>
      </c>
      <c r="H3" s="30" t="s">
        <v>18</v>
      </c>
      <c r="J3" s="30" t="s">
        <v>18</v>
      </c>
      <c r="K3" s="30" t="s">
        <v>19</v>
      </c>
      <c r="L3" s="30" t="s">
        <v>20</v>
      </c>
      <c r="M3" s="30" t="s">
        <v>21</v>
      </c>
      <c r="N3" s="30" t="s">
        <v>22</v>
      </c>
      <c r="O3" s="30" t="s">
        <v>23</v>
      </c>
      <c r="P3" s="30" t="s">
        <v>24</v>
      </c>
      <c r="Q3" s="30">
        <v>400096</v>
      </c>
      <c r="R3" s="30" t="s">
        <v>25</v>
      </c>
    </row>
    <row r="4" spans="2:19">
      <c r="B4" s="30" t="str">
        <f>portal_vendor_code[[#This Row],[Diaspark]]&amp;portal_vendor_code[[#This Row],[Vendor code ]]</f>
        <v>KSDSD-UDE034</v>
      </c>
      <c r="C4" s="30" t="s">
        <v>26</v>
      </c>
      <c r="D4" s="30" t="s">
        <v>27</v>
      </c>
      <c r="E4" s="30">
        <v>1</v>
      </c>
      <c r="H4" s="30" t="s">
        <v>28</v>
      </c>
      <c r="J4" s="30" t="s">
        <v>28</v>
      </c>
      <c r="K4" s="30" t="s">
        <v>29</v>
      </c>
      <c r="L4" s="30" t="s">
        <v>30</v>
      </c>
      <c r="M4" s="30" t="s">
        <v>31</v>
      </c>
      <c r="N4" s="30" t="s">
        <v>32</v>
      </c>
      <c r="O4" s="30" t="s">
        <v>33</v>
      </c>
      <c r="P4" s="30" t="s">
        <v>24</v>
      </c>
      <c r="Q4" s="30">
        <v>394230</v>
      </c>
      <c r="R4" s="30" t="s">
        <v>34</v>
      </c>
    </row>
    <row r="5" spans="2:19">
      <c r="B5" s="30" t="str">
        <f>portal_vendor_code[[#This Row],[Diaspark]]&amp;portal_vendor_code[[#This Row],[Vendor code ]]</f>
        <v>LGSD-UDE034</v>
      </c>
      <c r="C5" s="30" t="s">
        <v>35</v>
      </c>
      <c r="D5" s="30" t="s">
        <v>27</v>
      </c>
      <c r="E5" s="30">
        <v>1</v>
      </c>
      <c r="H5" s="30" t="s">
        <v>36</v>
      </c>
      <c r="J5" s="30" t="s">
        <v>36</v>
      </c>
      <c r="K5" s="30" t="s">
        <v>37</v>
      </c>
      <c r="L5" s="30" t="s">
        <v>38</v>
      </c>
      <c r="M5" s="30" t="s">
        <v>21</v>
      </c>
      <c r="N5" s="30" t="s">
        <v>22</v>
      </c>
      <c r="O5" s="30" t="s">
        <v>23</v>
      </c>
      <c r="P5" s="30" t="s">
        <v>24</v>
      </c>
      <c r="Q5" s="30">
        <v>400096</v>
      </c>
      <c r="R5" s="30" t="s">
        <v>39</v>
      </c>
    </row>
    <row r="6" spans="2:19">
      <c r="B6" s="30" t="str">
        <f>portal_vendor_code[[#This Row],[Diaspark]]&amp;portal_vendor_code[[#This Row],[Vendor code ]]</f>
        <v>CPCP-J00301</v>
      </c>
      <c r="C6" s="30" t="s">
        <v>16</v>
      </c>
      <c r="D6" s="30" t="s">
        <v>40</v>
      </c>
      <c r="E6" s="30">
        <v>2</v>
      </c>
      <c r="H6" s="30" t="s">
        <v>41</v>
      </c>
      <c r="J6" s="30" t="s">
        <v>41</v>
      </c>
      <c r="K6" s="30" t="s">
        <v>37</v>
      </c>
      <c r="L6" s="30" t="s">
        <v>38</v>
      </c>
      <c r="M6" s="30" t="s">
        <v>21</v>
      </c>
      <c r="N6" s="30" t="s">
        <v>22</v>
      </c>
      <c r="O6" s="30" t="s">
        <v>23</v>
      </c>
      <c r="P6" s="30" t="s">
        <v>24</v>
      </c>
      <c r="Q6" s="30">
        <v>400096</v>
      </c>
      <c r="R6" s="30" t="s">
        <v>39</v>
      </c>
    </row>
    <row r="7" spans="2:19">
      <c r="B7" s="30" t="str">
        <f>portal_vendor_code[[#This Row],[Diaspark]]&amp;portal_vendor_code[[#This Row],[Vendor code ]]</f>
        <v>KSDJ210</v>
      </c>
      <c r="C7" s="30" t="s">
        <v>26</v>
      </c>
      <c r="D7" s="30" t="s">
        <v>42</v>
      </c>
      <c r="E7" s="30">
        <v>2</v>
      </c>
      <c r="H7" s="30" t="s">
        <v>43</v>
      </c>
      <c r="J7" s="30" t="s">
        <v>43</v>
      </c>
      <c r="K7" s="30" t="s">
        <v>44</v>
      </c>
      <c r="L7" s="30" t="s">
        <v>45</v>
      </c>
      <c r="M7" s="30" t="s">
        <v>31</v>
      </c>
      <c r="N7" s="30" t="s">
        <v>32</v>
      </c>
      <c r="O7" s="30" t="s">
        <v>33</v>
      </c>
      <c r="P7" s="30" t="s">
        <v>24</v>
      </c>
      <c r="Q7" s="30">
        <v>394230</v>
      </c>
      <c r="R7" s="30" t="s">
        <v>46</v>
      </c>
    </row>
    <row r="8" spans="2:19">
      <c r="B8" s="30" t="str">
        <f>portal_vendor_code[[#This Row],[Diaspark]]&amp;portal_vendor_code[[#This Row],[Vendor code ]]</f>
        <v>LGLG-J004</v>
      </c>
      <c r="C8" s="30" t="s">
        <v>35</v>
      </c>
      <c r="D8" s="30" t="s">
        <v>47</v>
      </c>
      <c r="E8" s="30">
        <v>2</v>
      </c>
      <c r="H8" s="30" t="s">
        <v>48</v>
      </c>
    </row>
    <row r="9" spans="2:19">
      <c r="B9" s="30" t="str">
        <f>portal_vendor_code[[#This Row],[Diaspark]]&amp;portal_vendor_code[[#This Row],[Vendor code ]]</f>
        <v>CPCP-K00102</v>
      </c>
      <c r="C9" s="30" t="s">
        <v>16</v>
      </c>
      <c r="D9" s="30" t="s">
        <v>49</v>
      </c>
      <c r="E9" s="30">
        <v>3</v>
      </c>
    </row>
    <row r="10" spans="2:19">
      <c r="B10" s="30" t="str">
        <f>portal_vendor_code[[#This Row],[Diaspark]]&amp;portal_vendor_code[[#This Row],[Vendor code ]]</f>
        <v>KSDSD-K016</v>
      </c>
      <c r="C10" s="30" t="s">
        <v>26</v>
      </c>
      <c r="D10" s="30" t="s">
        <v>50</v>
      </c>
      <c r="E10" s="30">
        <v>3</v>
      </c>
    </row>
    <row r="11" spans="2:19">
      <c r="B11" s="30" t="str">
        <f>portal_vendor_code[[#This Row],[Diaspark]]&amp;portal_vendor_code[[#This Row],[Vendor code ]]</f>
        <v>KSDSD-K017</v>
      </c>
      <c r="C11" s="30" t="s">
        <v>26</v>
      </c>
      <c r="D11" s="30" t="s">
        <v>51</v>
      </c>
      <c r="E11" s="30">
        <v>3</v>
      </c>
    </row>
    <row r="12" spans="2:19">
      <c r="B12" s="30" t="str">
        <f>portal_vendor_code[[#This Row],[Diaspark]]&amp;portal_vendor_code[[#This Row],[Vendor code ]]</f>
        <v>LGLG-K003</v>
      </c>
      <c r="C12" s="30" t="s">
        <v>35</v>
      </c>
      <c r="D12" s="30" t="s">
        <v>52</v>
      </c>
      <c r="E12" s="30">
        <v>3</v>
      </c>
    </row>
    <row r="13" spans="2:19">
      <c r="B13" s="30" t="str">
        <f>portal_vendor_code[[#This Row],[Diaspark]]&amp;portal_vendor_code[[#This Row],[Vendor code ]]</f>
        <v>LGLG-K005</v>
      </c>
      <c r="C13" s="30" t="s">
        <v>35</v>
      </c>
      <c r="D13" s="30" t="s">
        <v>53</v>
      </c>
      <c r="E13" s="30">
        <v>3</v>
      </c>
    </row>
    <row r="14" spans="2:19">
      <c r="B14" s="30" t="str">
        <f>portal_vendor_code[[#This Row],[Diaspark]]&amp;portal_vendor_code[[#This Row],[Vendor code ]]</f>
        <v>CPCP-K00104</v>
      </c>
      <c r="C14" s="30" t="s">
        <v>16</v>
      </c>
      <c r="D14" s="30" t="s">
        <v>54</v>
      </c>
      <c r="E14" s="30">
        <v>4</v>
      </c>
    </row>
    <row r="15" spans="2:19">
      <c r="B15" s="30" t="str">
        <f>portal_vendor_code[[#This Row],[Diaspark]]&amp;portal_vendor_code[[#This Row],[Vendor code ]]</f>
        <v>KSDK069</v>
      </c>
      <c r="C15" s="30" t="s">
        <v>26</v>
      </c>
      <c r="D15" s="30" t="s">
        <v>55</v>
      </c>
      <c r="E15" s="30">
        <v>4</v>
      </c>
    </row>
    <row r="16" spans="2:19">
      <c r="B16" s="30" t="str">
        <f>portal_vendor_code[[#This Row],[Diaspark]]&amp;portal_vendor_code[[#This Row],[Vendor code ]]</f>
        <v>LGLG-K013</v>
      </c>
      <c r="C16" s="30" t="s">
        <v>35</v>
      </c>
      <c r="D16" s="30" t="s">
        <v>56</v>
      </c>
      <c r="E16" s="30">
        <v>4</v>
      </c>
      <c r="H16" s="30" t="s">
        <v>57</v>
      </c>
      <c r="J16" s="30" t="s">
        <v>58</v>
      </c>
      <c r="K16" s="30" t="s">
        <v>59</v>
      </c>
      <c r="L16" s="30" t="s">
        <v>60</v>
      </c>
      <c r="M16" s="30" t="s">
        <v>61</v>
      </c>
      <c r="N16" s="30" t="s">
        <v>62</v>
      </c>
      <c r="O16" s="30" t="s">
        <v>63</v>
      </c>
      <c r="P16" s="30" t="s">
        <v>64</v>
      </c>
      <c r="Q16" s="30" t="s">
        <v>65</v>
      </c>
      <c r="R16" s="30" t="s">
        <v>66</v>
      </c>
    </row>
    <row r="17" spans="2:18">
      <c r="B17" s="30" t="str">
        <f>portal_vendor_code[[#This Row],[Diaspark]]&amp;portal_vendor_code[[#This Row],[Vendor code ]]</f>
        <v>CPCP-K00101</v>
      </c>
      <c r="C17" s="30" t="s">
        <v>16</v>
      </c>
      <c r="D17" s="30" t="s">
        <v>67</v>
      </c>
      <c r="E17" s="30">
        <v>5</v>
      </c>
      <c r="H17" s="30" t="s">
        <v>68</v>
      </c>
      <c r="J17" s="30" t="s">
        <v>68</v>
      </c>
      <c r="K17" s="30" t="s">
        <v>69</v>
      </c>
      <c r="L17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9KT GOLD CASTING</v>
      </c>
      <c r="M17" s="46">
        <v>0.375</v>
      </c>
      <c r="N17" s="30">
        <v>31.1035</v>
      </c>
      <c r="O17" s="46">
        <v>0.995</v>
      </c>
      <c r="P17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17" s="46">
        <v>0.375</v>
      </c>
      <c r="R17" s="48">
        <f>(metal_type[[#This Row],[metal_rate]]/metal_type[[#This Row],[gram_per_ounce]])*metal_type[[#This Row],[rate_purity]]</f>
        <v>0</v>
      </c>
    </row>
    <row r="18" spans="2:18">
      <c r="B18" s="30" t="str">
        <f>portal_vendor_code[[#This Row],[Diaspark]]&amp;portal_vendor_code[[#This Row],[Vendor code ]]</f>
        <v>KSDSD-UDK024</v>
      </c>
      <c r="C18" s="30" t="s">
        <v>26</v>
      </c>
      <c r="D18" s="30" t="s">
        <v>70</v>
      </c>
      <c r="E18" s="30">
        <v>5</v>
      </c>
      <c r="H18" s="30" t="s">
        <v>71</v>
      </c>
      <c r="J18" s="30" t="s">
        <v>71</v>
      </c>
      <c r="K18" s="30" t="s">
        <v>69</v>
      </c>
      <c r="L18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10KT GOLD CASTING</v>
      </c>
      <c r="M18" s="46">
        <v>0.41660000000000003</v>
      </c>
      <c r="N18" s="30">
        <v>31.1035</v>
      </c>
      <c r="O18" s="46">
        <v>0.995</v>
      </c>
      <c r="P18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18" s="46">
        <v>0.41660000000000003</v>
      </c>
      <c r="R18" s="48">
        <f>(metal_type[[#This Row],[metal_rate]]/metal_type[[#This Row],[gram_per_ounce]])*metal_type[[#This Row],[rate_purity]]</f>
        <v>0</v>
      </c>
    </row>
    <row r="19" spans="2:18">
      <c r="B19" s="30" t="str">
        <f>portal_vendor_code[[#This Row],[Diaspark]]&amp;portal_vendor_code[[#This Row],[Vendor code ]]</f>
        <v>LGSD-UDK024</v>
      </c>
      <c r="C19" s="30" t="s">
        <v>35</v>
      </c>
      <c r="D19" s="30" t="s">
        <v>70</v>
      </c>
      <c r="E19" s="30">
        <v>5</v>
      </c>
      <c r="H19" s="30" t="s">
        <v>72</v>
      </c>
      <c r="J19" s="30" t="s">
        <v>72</v>
      </c>
      <c r="K19" s="30" t="s">
        <v>69</v>
      </c>
      <c r="L19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14KT GOLD CASTING</v>
      </c>
      <c r="M19" s="46">
        <v>0.58330000000000004</v>
      </c>
      <c r="N19" s="30">
        <v>31.1035</v>
      </c>
      <c r="O19" s="46">
        <v>0.995</v>
      </c>
      <c r="P19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19" s="46">
        <v>0.58330000000000004</v>
      </c>
      <c r="R19" s="48">
        <f>(metal_type[[#This Row],[metal_rate]]/metal_type[[#This Row],[gram_per_ounce]])*metal_type[[#This Row],[rate_purity]]</f>
        <v>0</v>
      </c>
    </row>
    <row r="20" spans="2:18">
      <c r="B20" s="30" t="str">
        <f>portal_vendor_code[[#This Row],[Diaspark]]&amp;portal_vendor_code[[#This Row],[Vendor code ]]</f>
        <v>CPCP-S00106</v>
      </c>
      <c r="C20" s="30" t="s">
        <v>16</v>
      </c>
      <c r="D20" s="30" t="s">
        <v>73</v>
      </c>
      <c r="E20" s="30">
        <v>6</v>
      </c>
      <c r="H20" s="30" t="s">
        <v>74</v>
      </c>
      <c r="J20" s="30" t="s">
        <v>74</v>
      </c>
      <c r="K20" s="30" t="s">
        <v>69</v>
      </c>
      <c r="L20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18KT GOLD CASTING</v>
      </c>
      <c r="M20" s="46">
        <v>0.75</v>
      </c>
      <c r="N20" s="30">
        <v>31.1035</v>
      </c>
      <c r="O20" s="46">
        <v>0.995</v>
      </c>
      <c r="P20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0" s="46">
        <v>0.75</v>
      </c>
      <c r="R20" s="48">
        <f>(metal_type[[#This Row],[metal_rate]]/metal_type[[#This Row],[gram_per_ounce]])*metal_type[[#This Row],[rate_purity]]</f>
        <v>0</v>
      </c>
    </row>
    <row r="21" spans="2:18">
      <c r="B21" s="30" t="str">
        <f>portal_vendor_code[[#This Row],[Diaspark]]&amp;portal_vendor_code[[#This Row],[Vendor code ]]</f>
        <v>KSDS137</v>
      </c>
      <c r="C21" s="30" t="s">
        <v>26</v>
      </c>
      <c r="D21" s="30" t="s">
        <v>75</v>
      </c>
      <c r="E21" s="30">
        <v>6</v>
      </c>
      <c r="H21" s="30" t="s">
        <v>76</v>
      </c>
      <c r="J21" s="30" t="s">
        <v>76</v>
      </c>
      <c r="K21" s="30" t="s">
        <v>69</v>
      </c>
      <c r="L21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22KT GOLD CASTING</v>
      </c>
      <c r="M21" s="46">
        <v>0.91659999999999997</v>
      </c>
      <c r="N21" s="30">
        <v>31.1035</v>
      </c>
      <c r="O21" s="46">
        <v>0.995</v>
      </c>
      <c r="P21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1" s="46">
        <v>0.91659999999999997</v>
      </c>
      <c r="R21" s="48">
        <f>(metal_type[[#This Row],[metal_rate]]/metal_type[[#This Row],[gram_per_ounce]])*metal_type[[#This Row],[rate_purity]]</f>
        <v>0</v>
      </c>
    </row>
    <row r="22" spans="2:18">
      <c r="B22" s="30" t="str">
        <f>portal_vendor_code[[#This Row],[Diaspark]]&amp;portal_vendor_code[[#This Row],[Vendor code ]]</f>
        <v>LGLG-S014</v>
      </c>
      <c r="C22" s="30" t="s">
        <v>35</v>
      </c>
      <c r="D22" s="30" t="s">
        <v>77</v>
      </c>
      <c r="E22" s="30">
        <v>6</v>
      </c>
      <c r="H22" s="30" t="s">
        <v>78</v>
      </c>
      <c r="J22" s="30" t="s">
        <v>79</v>
      </c>
      <c r="K22" s="30" t="s">
        <v>69</v>
      </c>
      <c r="L22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GOLD CASTING</v>
      </c>
      <c r="M22" s="46">
        <v>1</v>
      </c>
      <c r="N22" s="30">
        <v>31.1035</v>
      </c>
      <c r="O22" s="46">
        <v>0.995</v>
      </c>
      <c r="P22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2" s="46">
        <v>1</v>
      </c>
      <c r="R22" s="48">
        <f>(metal_type[[#This Row],[metal_rate]]/metal_type[[#This Row],[gram_per_ounce]])*metal_type[[#This Row],[rate_purity]]</f>
        <v>0</v>
      </c>
    </row>
    <row r="23" spans="2:18">
      <c r="B23" s="30" t="str">
        <f>portal_vendor_code[[#This Row],[Diaspark]]&amp;portal_vendor_code[[#This Row],[Vendor code ]]</f>
        <v>CPCP-UJ00101</v>
      </c>
      <c r="C23" s="30" t="s">
        <v>16</v>
      </c>
      <c r="D23" s="30" t="s">
        <v>80</v>
      </c>
      <c r="E23" s="30">
        <v>7</v>
      </c>
      <c r="H23" s="30" t="s">
        <v>81</v>
      </c>
      <c r="J23" s="30" t="s">
        <v>82</v>
      </c>
      <c r="K23" s="30" t="s">
        <v>78</v>
      </c>
      <c r="L23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23" s="46">
        <v>0.95</v>
      </c>
      <c r="N23" s="30">
        <v>31.1035</v>
      </c>
      <c r="O23" s="46">
        <v>1</v>
      </c>
      <c r="P23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3" s="46">
        <v>1</v>
      </c>
      <c r="R23" s="48">
        <f>(metal_type[[#This Row],[metal_rate]]/metal_type[[#This Row],[gram_per_ounce]])*metal_type[[#This Row],[rate_purity]]</f>
        <v>0</v>
      </c>
    </row>
    <row r="24" spans="2:18">
      <c r="B24" s="30" t="str">
        <f>portal_vendor_code[[#This Row],[Diaspark]]&amp;portal_vendor_code[[#This Row],[Vendor code ]]</f>
        <v>KSDU031</v>
      </c>
      <c r="C24" s="30" t="s">
        <v>26</v>
      </c>
      <c r="D24" s="30" t="s">
        <v>83</v>
      </c>
      <c r="E24" s="30">
        <v>7</v>
      </c>
      <c r="H24" s="30" t="s">
        <v>84</v>
      </c>
      <c r="J24" s="30" t="s">
        <v>85</v>
      </c>
      <c r="K24" s="30" t="s">
        <v>78</v>
      </c>
      <c r="L24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24" s="46">
        <v>0.95</v>
      </c>
      <c r="N24" s="30">
        <v>31.1035</v>
      </c>
      <c r="O24" s="46">
        <v>1</v>
      </c>
      <c r="P24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4" s="46">
        <v>1</v>
      </c>
      <c r="R24" s="48">
        <f>(metal_type[[#This Row],[metal_rate]]/metal_type[[#This Row],[gram_per_ounce]])*metal_type[[#This Row],[rate_purity]]</f>
        <v>0</v>
      </c>
    </row>
    <row r="25" spans="2:18">
      <c r="B25" s="30" t="str">
        <f>portal_vendor_code[[#This Row],[Diaspark]]&amp;portal_vendor_code[[#This Row],[Vendor code ]]</f>
        <v>LGLG-U015</v>
      </c>
      <c r="C25" s="30" t="s">
        <v>35</v>
      </c>
      <c r="D25" s="30" t="s">
        <v>86</v>
      </c>
      <c r="E25" s="30">
        <v>7</v>
      </c>
      <c r="J25" s="30" t="s">
        <v>87</v>
      </c>
      <c r="K25" s="30" t="s">
        <v>78</v>
      </c>
      <c r="L25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25" s="46">
        <v>0.95</v>
      </c>
      <c r="N25" s="30">
        <v>31.1035</v>
      </c>
      <c r="O25" s="46">
        <v>1</v>
      </c>
      <c r="P25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5" s="46">
        <v>1</v>
      </c>
      <c r="R25" s="48">
        <f>(metal_type[[#This Row],[metal_rate]]/metal_type[[#This Row],[gram_per_ounce]])*metal_type[[#This Row],[rate_purity]]</f>
        <v>0</v>
      </c>
    </row>
    <row r="26" spans="2:18">
      <c r="J26" s="30" t="s">
        <v>88</v>
      </c>
      <c r="K26" s="30" t="s">
        <v>78</v>
      </c>
      <c r="L26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26" s="46">
        <v>0.95</v>
      </c>
      <c r="N26" s="30">
        <v>31.1035</v>
      </c>
      <c r="O26" s="46">
        <v>1</v>
      </c>
      <c r="P26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6" s="46">
        <v>1</v>
      </c>
      <c r="R26" s="48">
        <f>(metal_type[[#This Row],[metal_rate]]/metal_type[[#This Row],[gram_per_ounce]])*metal_type[[#This Row],[rate_purity]]</f>
        <v>0</v>
      </c>
    </row>
    <row r="27" spans="2:18">
      <c r="J27" s="30" t="s">
        <v>89</v>
      </c>
      <c r="K27" s="30" t="s">
        <v>78</v>
      </c>
      <c r="L27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27" s="46">
        <v>0.95</v>
      </c>
      <c r="N27" s="30">
        <v>31.1035</v>
      </c>
      <c r="O27" s="46">
        <v>1</v>
      </c>
      <c r="P27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7" s="46">
        <v>1</v>
      </c>
      <c r="R27" s="48">
        <f>(metal_type[[#This Row],[metal_rate]]/metal_type[[#This Row],[gram_per_ounce]])*metal_type[[#This Row],[rate_purity]]</f>
        <v>0</v>
      </c>
    </row>
    <row r="28" spans="2:18">
      <c r="J28" s="30" t="s">
        <v>78</v>
      </c>
      <c r="K28" s="30" t="s">
        <v>78</v>
      </c>
      <c r="L28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28" s="46">
        <v>0.95</v>
      </c>
      <c r="N28" s="30">
        <v>31.1035</v>
      </c>
      <c r="O28" s="46">
        <v>1</v>
      </c>
      <c r="P28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8" s="46">
        <v>1</v>
      </c>
      <c r="R28" s="48">
        <f>(metal_type[[#This Row],[metal_rate]]/metal_type[[#This Row],[gram_per_ounce]])*metal_type[[#This Row],[rate_purity]]</f>
        <v>0</v>
      </c>
    </row>
    <row r="29" spans="2:18">
      <c r="H29" s="30" t="s">
        <v>90</v>
      </c>
      <c r="J29" s="30" t="s">
        <v>91</v>
      </c>
      <c r="K29" s="30" t="s">
        <v>78</v>
      </c>
      <c r="L29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29" s="46">
        <v>0.95</v>
      </c>
      <c r="N29" s="30">
        <v>31.1035</v>
      </c>
      <c r="O29" s="46">
        <v>1</v>
      </c>
      <c r="P29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29" s="46">
        <v>1</v>
      </c>
      <c r="R29" s="48">
        <f>(metal_type[[#This Row],[metal_rate]]/metal_type[[#This Row],[gram_per_ounce]])*metal_type[[#This Row],[rate_purity]]</f>
        <v>0</v>
      </c>
    </row>
    <row r="30" spans="2:18">
      <c r="H30" s="30" t="s">
        <v>82</v>
      </c>
      <c r="J30" s="30" t="s">
        <v>92</v>
      </c>
      <c r="K30" s="30" t="s">
        <v>78</v>
      </c>
      <c r="L30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30" s="46">
        <v>0.95</v>
      </c>
      <c r="N30" s="30">
        <v>31.1035</v>
      </c>
      <c r="O30" s="46">
        <v>1</v>
      </c>
      <c r="P30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0" s="46">
        <v>1</v>
      </c>
      <c r="R30" s="48">
        <f>(metal_type[[#This Row],[metal_rate]]/metal_type[[#This Row],[gram_per_ounce]])*metal_type[[#This Row],[rate_purity]]</f>
        <v>0</v>
      </c>
    </row>
    <row r="31" spans="2:18">
      <c r="H31" s="30" t="s">
        <v>85</v>
      </c>
      <c r="J31" s="30" t="s">
        <v>93</v>
      </c>
      <c r="K31" s="30" t="s">
        <v>78</v>
      </c>
      <c r="L31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950 PLATINUM CASTING</v>
      </c>
      <c r="M31" s="46">
        <v>0.95</v>
      </c>
      <c r="N31" s="30">
        <v>31.1035</v>
      </c>
      <c r="O31" s="46">
        <v>1</v>
      </c>
      <c r="P31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1" s="46">
        <v>1</v>
      </c>
      <c r="R31" s="48">
        <f>(metal_type[[#This Row],[metal_rate]]/metal_type[[#This Row],[gram_per_ounce]])*metal_type[[#This Row],[rate_purity]]</f>
        <v>0</v>
      </c>
    </row>
    <row r="32" spans="2:18">
      <c r="H32" s="30" t="s">
        <v>87</v>
      </c>
      <c r="J32" s="30" t="s">
        <v>94</v>
      </c>
      <c r="K32" s="30" t="s">
        <v>81</v>
      </c>
      <c r="L32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2" s="46">
        <v>0.92500000000000004</v>
      </c>
      <c r="N32" s="30">
        <v>31.1035</v>
      </c>
      <c r="O32" s="46">
        <v>1</v>
      </c>
      <c r="P32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2" s="46">
        <v>0.92500000000000004</v>
      </c>
      <c r="R32" s="48">
        <f>(metal_type[[#This Row],[metal_rate]]/metal_type[[#This Row],[gram_per_ounce]])*metal_type[[#This Row],[rate_purity]]</f>
        <v>0</v>
      </c>
    </row>
    <row r="33" spans="8:18">
      <c r="H33" s="30" t="s">
        <v>88</v>
      </c>
      <c r="J33" s="30" t="s">
        <v>95</v>
      </c>
      <c r="K33" s="30" t="s">
        <v>81</v>
      </c>
      <c r="L33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3" s="46">
        <v>0.92500000000000004</v>
      </c>
      <c r="N33" s="30">
        <v>31.1035</v>
      </c>
      <c r="O33" s="46">
        <v>1</v>
      </c>
      <c r="P33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3" s="46">
        <v>0.92500000000000004</v>
      </c>
      <c r="R33" s="48">
        <f>(metal_type[[#This Row],[metal_rate]]/metal_type[[#This Row],[gram_per_ounce]])*metal_type[[#This Row],[rate_purity]]</f>
        <v>0</v>
      </c>
    </row>
    <row r="34" spans="8:18">
      <c r="H34" s="30" t="s">
        <v>89</v>
      </c>
      <c r="J34" s="30" t="s">
        <v>96</v>
      </c>
      <c r="K34" s="30" t="s">
        <v>81</v>
      </c>
      <c r="L34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4" s="46">
        <v>0.92500000000000004</v>
      </c>
      <c r="N34" s="30">
        <v>31.1035</v>
      </c>
      <c r="O34" s="46">
        <v>1</v>
      </c>
      <c r="P34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4" s="46">
        <v>0.92500000000000004</v>
      </c>
      <c r="R34" s="48">
        <f>(metal_type[[#This Row],[metal_rate]]/metal_type[[#This Row],[gram_per_ounce]])*metal_type[[#This Row],[rate_purity]]</f>
        <v>0</v>
      </c>
    </row>
    <row r="35" spans="8:18">
      <c r="H35" s="30" t="s">
        <v>78</v>
      </c>
      <c r="J35" s="30" t="s">
        <v>97</v>
      </c>
      <c r="K35" s="30" t="s">
        <v>81</v>
      </c>
      <c r="L35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5" s="46">
        <v>0.92500000000000004</v>
      </c>
      <c r="N35" s="30">
        <v>31.1035</v>
      </c>
      <c r="O35" s="46">
        <v>1</v>
      </c>
      <c r="P35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5" s="46">
        <v>0.92500000000000004</v>
      </c>
      <c r="R35" s="48">
        <f>(metal_type[[#This Row],[metal_rate]]/metal_type[[#This Row],[gram_per_ounce]])*metal_type[[#This Row],[rate_purity]]</f>
        <v>0</v>
      </c>
    </row>
    <row r="36" spans="8:18">
      <c r="H36" s="30" t="s">
        <v>91</v>
      </c>
      <c r="J36" s="30" t="s">
        <v>98</v>
      </c>
      <c r="K36" s="30" t="s">
        <v>81</v>
      </c>
      <c r="L36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6" s="46">
        <v>0.92500000000000004</v>
      </c>
      <c r="N36" s="30">
        <v>31.1035</v>
      </c>
      <c r="O36" s="46">
        <v>1</v>
      </c>
      <c r="P36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6" s="46">
        <v>0.92500000000000004</v>
      </c>
      <c r="R36" s="48">
        <f>(metal_type[[#This Row],[metal_rate]]/metal_type[[#This Row],[gram_per_ounce]])*metal_type[[#This Row],[rate_purity]]</f>
        <v>0</v>
      </c>
    </row>
    <row r="37" spans="8:18">
      <c r="H37" s="30" t="s">
        <v>92</v>
      </c>
      <c r="J37" s="30" t="s">
        <v>81</v>
      </c>
      <c r="K37" s="30" t="s">
        <v>81</v>
      </c>
      <c r="L37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7" s="46">
        <v>0.92500000000000004</v>
      </c>
      <c r="N37" s="30">
        <v>31.1035</v>
      </c>
      <c r="O37" s="46">
        <v>1</v>
      </c>
      <c r="P37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7" s="46">
        <v>0.92500000000000004</v>
      </c>
      <c r="R37" s="48">
        <f>(metal_type[[#This Row],[metal_rate]]/metal_type[[#This Row],[gram_per_ounce]])*metal_type[[#This Row],[rate_purity]]</f>
        <v>0</v>
      </c>
    </row>
    <row r="38" spans="8:18">
      <c r="H38" s="30" t="s">
        <v>93</v>
      </c>
      <c r="J38" s="30" t="s">
        <v>99</v>
      </c>
      <c r="K38" s="30" t="s">
        <v>81</v>
      </c>
      <c r="L38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8" s="46">
        <v>0.92500000000000004</v>
      </c>
      <c r="N38" s="30">
        <v>31.1035</v>
      </c>
      <c r="O38" s="46">
        <v>1</v>
      </c>
      <c r="P38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8" s="46">
        <v>0.92500000000000004</v>
      </c>
      <c r="R38" s="48">
        <f>(metal_type[[#This Row],[metal_rate]]/metal_type[[#This Row],[gram_per_ounce]])*metal_type[[#This Row],[rate_purity]]</f>
        <v>0</v>
      </c>
    </row>
    <row r="39" spans="8:18">
      <c r="J39" s="30" t="s">
        <v>100</v>
      </c>
      <c r="K39" s="30" t="s">
        <v>81</v>
      </c>
      <c r="L39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39" s="46">
        <v>0.92500000000000004</v>
      </c>
      <c r="N39" s="30">
        <v>31.1035</v>
      </c>
      <c r="O39" s="46">
        <v>1</v>
      </c>
      <c r="P39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39" s="46">
        <v>0.92500000000000004</v>
      </c>
      <c r="R39" s="48">
        <f>(metal_type[[#This Row],[metal_rate]]/metal_type[[#This Row],[gram_per_ounce]])*metal_type[[#This Row],[rate_purity]]</f>
        <v>0</v>
      </c>
    </row>
    <row r="40" spans="8:18">
      <c r="J40" s="30" t="s">
        <v>101</v>
      </c>
      <c r="K40" s="30" t="s">
        <v>81</v>
      </c>
      <c r="L40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40" s="46">
        <v>0.92500000000000004</v>
      </c>
      <c r="N40" s="30">
        <v>31.1035</v>
      </c>
      <c r="O40" s="46">
        <v>1</v>
      </c>
      <c r="P40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40" s="46">
        <v>0.92500000000000004</v>
      </c>
      <c r="R40" s="48">
        <f>(metal_type[[#This Row],[metal_rate]]/metal_type[[#This Row],[gram_per_ounce]])*metal_type[[#This Row],[rate_purity]]</f>
        <v>0</v>
      </c>
    </row>
    <row r="41" spans="8:18">
      <c r="J41" s="30" t="s">
        <v>84</v>
      </c>
      <c r="K41" s="30" t="s">
        <v>81</v>
      </c>
      <c r="L41" s="30" t="str">
        <f>IF(metal_type[[#This Row],[metal]]="SILVER", "STERLING SILVER CASTING",
IF(metal_type[[#This Row],[metal]]="SILVER - 925", "STERLING SILVER CASTING",
IF(metal_type[[#This Row],[metal]]="PLATINUM", "950 PLATINUM CASTING",
IF(metal_type[[#This Row],[metal_type]]="9KT", "9KT GOLD CASTING",
IF(metal_type[[#This Row],[metal_type]]="10KT", "10KT GOLD CASTING",
IF(metal_type[[#This Row],[metal_type]]="14KT", "14KT GOLD CASTING",
IF(metal_type[[#This Row],[metal_type]]="18KT", "18KT GOLD CASTING",
IF(metal_type[[#This Row],[metal_type]]="22KT", "22KT GOLD CASTING",
IF(metal_type[[#This Row],[metal_type]]="24KT", "GOLD CASTING", "")))))))))</f>
        <v>STERLING SILVER CASTING</v>
      </c>
      <c r="M41" s="46">
        <v>0.92500000000000004</v>
      </c>
      <c r="N41" s="30">
        <v>31.1035</v>
      </c>
      <c r="O41" s="46">
        <v>1</v>
      </c>
      <c r="P41" s="47">
        <f>IF(metal_type[[#This Row],[metal]]="GOLD",Sheet1!$O$12,IF(metal_type[[#This Row],[metal]]="PLATINUM",Sheet1!$O$13,IF(metal_type[[#This Row],[metal]]="SILVER",Sheet1!$O$14,IF(metal_type[[#This Row],[metal]]="SILVER - 925",Sheet1!$O$14,""))))</f>
        <v>0</v>
      </c>
      <c r="Q41" s="46">
        <v>0.92500000000000004</v>
      </c>
      <c r="R41" s="48">
        <f>(metal_type[[#This Row],[metal_rate]]/metal_type[[#This Row],[gram_per_ounce]])*metal_type[[#This Row],[rate_purity]]</f>
        <v>0</v>
      </c>
    </row>
    <row r="42" spans="8:18">
      <c r="H42" s="30" t="s">
        <v>102</v>
      </c>
    </row>
    <row r="43" spans="8:18">
      <c r="H43" s="30" t="s">
        <v>94</v>
      </c>
    </row>
    <row r="44" spans="8:18">
      <c r="H44" s="30" t="s">
        <v>95</v>
      </c>
    </row>
    <row r="45" spans="8:18">
      <c r="H45" s="30" t="s">
        <v>96</v>
      </c>
    </row>
    <row r="46" spans="8:18">
      <c r="H46" s="30" t="s">
        <v>97</v>
      </c>
    </row>
    <row r="47" spans="8:18">
      <c r="H47" s="30" t="s">
        <v>98</v>
      </c>
    </row>
    <row r="48" spans="8:18">
      <c r="H48" s="30" t="s">
        <v>81</v>
      </c>
    </row>
    <row r="49" spans="8:8">
      <c r="H49" s="30" t="s">
        <v>99</v>
      </c>
    </row>
    <row r="50" spans="8:8">
      <c r="H50" s="30" t="s">
        <v>100</v>
      </c>
    </row>
    <row r="51" spans="8:8">
      <c r="H51" s="30" t="s">
        <v>101</v>
      </c>
    </row>
    <row r="52" spans="8:8">
      <c r="H52" s="30" t="s">
        <v>84</v>
      </c>
    </row>
  </sheetData>
  <conditionalFormatting sqref="B3:B25">
    <cfRule type="duplicateValues" dxfId="44" priority="1"/>
  </conditionalFormatting>
  <conditionalFormatting sqref="J17:J41">
    <cfRule type="duplicateValues" dxfId="43" priority="6"/>
  </conditionalFormatting>
  <pageMargins left="0.25" right="0.25" top="0.75" bottom="0.75" header="0.3" footer="0.3"/>
  <pageSetup scale="3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7192-3208-4F41-BA80-21C88EAFF774}">
  <sheetPr>
    <pageSetUpPr fitToPage="1"/>
  </sheetPr>
  <dimension ref="A1:S124"/>
  <sheetViews>
    <sheetView showGridLines="0" tabSelected="1" zoomScaleNormal="100" workbookViewId="0">
      <selection activeCell="F16" sqref="F16"/>
    </sheetView>
  </sheetViews>
  <sheetFormatPr defaultRowHeight="15" outlineLevelCol="1"/>
  <cols>
    <col min="1" max="1" width="9.140625" style="1"/>
    <col min="2" max="2" width="7.7109375" style="14" customWidth="1"/>
    <col min="3" max="3" width="18.7109375" style="14" customWidth="1" outlineLevel="1"/>
    <col min="4" max="4" width="18.7109375" style="14" customWidth="1"/>
    <col min="5" max="5" width="25.7109375" style="14" customWidth="1" outlineLevel="1"/>
    <col min="6" max="6" width="25.7109375" style="14" customWidth="1"/>
    <col min="7" max="8" width="20.7109375" style="14" customWidth="1"/>
    <col min="9" max="9" width="35.7109375" style="14" customWidth="1"/>
    <col min="10" max="10" width="15.7109375" style="14" customWidth="1"/>
    <col min="11" max="13" width="15.7109375" style="18" customWidth="1"/>
    <col min="14" max="15" width="15.7109375" style="18" customWidth="1" outlineLevel="1"/>
    <col min="16" max="17" width="15.7109375" style="18" customWidth="1"/>
    <col min="18" max="18" width="15.7109375" style="18" customWidth="1" outlineLevel="1"/>
    <col min="19" max="19" width="50.7109375" style="18" customWidth="1" outlineLevel="1"/>
    <col min="20" max="16384" width="9.140625" style="1"/>
  </cols>
  <sheetData>
    <row r="1" spans="2:19" ht="28.5">
      <c r="B1" s="1"/>
      <c r="C1" s="1"/>
      <c r="D1" s="1"/>
      <c r="E1" s="1"/>
      <c r="G1" s="1"/>
      <c r="H1" s="1"/>
      <c r="I1" s="34" t="s">
        <v>103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>
      <c r="B2" s="2" t="s">
        <v>104</v>
      </c>
      <c r="C2" s="2"/>
      <c r="D2" s="2"/>
      <c r="E2" s="2"/>
      <c r="F2" s="1"/>
      <c r="G2" s="1"/>
      <c r="H2" s="1"/>
      <c r="I2" s="1"/>
      <c r="J2" s="1"/>
      <c r="L2" s="2" t="s">
        <v>105</v>
      </c>
      <c r="M2" s="2"/>
      <c r="N2" s="4"/>
      <c r="O2" s="4"/>
      <c r="P2" s="4"/>
      <c r="Q2" s="4"/>
      <c r="R2" s="2" t="s">
        <v>106</v>
      </c>
      <c r="S2" s="4"/>
    </row>
    <row r="3" spans="2:19">
      <c r="B3" s="5" t="s">
        <v>107</v>
      </c>
      <c r="C3" s="5"/>
      <c r="D3" s="5"/>
      <c r="E3" s="5"/>
      <c r="F3" s="4"/>
      <c r="G3" s="4"/>
      <c r="H3" s="4"/>
      <c r="I3" s="4"/>
      <c r="J3" s="1"/>
      <c r="L3" s="44" t="str">
        <f>IF(COUNTA($E$18:$E$72)=0,"",
   IF(COUNTIF($E$18:$E$72,E18)=COUNTA($E$18:$E$72),
      UPPER(E18),
      "MULTIPLE"
   )
)</f>
        <v/>
      </c>
      <c r="M3" s="30"/>
      <c r="N3" s="4"/>
      <c r="O3" s="4"/>
      <c r="P3" s="4"/>
      <c r="Q3" s="4"/>
      <c r="R3" s="5" t="s">
        <v>108</v>
      </c>
      <c r="S3" s="4"/>
    </row>
    <row r="4" spans="2:19">
      <c r="B4" s="4" t="s">
        <v>109</v>
      </c>
      <c r="C4" s="4"/>
      <c r="D4" s="4"/>
      <c r="E4" s="4"/>
      <c r="F4" s="4"/>
      <c r="G4" s="4"/>
      <c r="H4" s="4"/>
      <c r="I4" s="4"/>
      <c r="J4" s="1"/>
      <c r="L4" s="3" t="str">
        <f>IFERROR(IF(INDEX(address[ship_address1],MATCH(Sheet1!$L$3,address[ship_nm],0))="","",INDEX(address[ship_address1],MATCH(Sheet1!$L$3,address[ship_nm],0))),"")</f>
        <v/>
      </c>
      <c r="M4" s="3"/>
      <c r="N4" s="4"/>
      <c r="O4" s="4"/>
      <c r="P4" s="4"/>
      <c r="Q4" s="4"/>
      <c r="R4" s="4" t="s">
        <v>109</v>
      </c>
      <c r="S4" s="4"/>
    </row>
    <row r="5" spans="2:19">
      <c r="B5" s="4" t="s">
        <v>110</v>
      </c>
      <c r="C5" s="4"/>
      <c r="D5" s="4"/>
      <c r="E5" s="4"/>
      <c r="F5" s="4"/>
      <c r="G5" s="4"/>
      <c r="H5" s="4"/>
      <c r="I5" s="4"/>
      <c r="J5" s="1"/>
      <c r="L5" s="3" t="str">
        <f>IFERROR(IF(INDEX(address[ship_address2],MATCH(Sheet1!$L$3,address[ship_nm],0))="","",INDEX(address[ship_address2],MATCH(Sheet1!$L$3,address[ship_nm],0))),"")</f>
        <v/>
      </c>
      <c r="M5" s="3"/>
      <c r="N5" s="4"/>
      <c r="O5" s="4"/>
      <c r="P5" s="4"/>
      <c r="Q5" s="4"/>
      <c r="R5" s="4" t="s">
        <v>110</v>
      </c>
      <c r="S5" s="4"/>
    </row>
    <row r="6" spans="2:19">
      <c r="B6" s="4" t="s">
        <v>111</v>
      </c>
      <c r="C6" s="4"/>
      <c r="D6" s="4"/>
      <c r="E6" s="4"/>
      <c r="F6" s="4"/>
      <c r="G6" s="4"/>
      <c r="H6" s="4"/>
      <c r="I6" s="4"/>
      <c r="J6" s="1"/>
      <c r="L6" s="3" t="str">
        <f>IFERROR(INDEX(address[ship_city],MATCH(Sheet1!$L$3,address[ship_nm],0)) &amp; " " &amp; INDEX(address[ship_zip],MATCH(Sheet1!$L$3,address[ship_nm],0)), "")</f>
        <v/>
      </c>
      <c r="M6" s="3"/>
      <c r="N6" s="4"/>
      <c r="O6" s="4"/>
      <c r="P6" s="4"/>
      <c r="Q6" s="4"/>
      <c r="R6" s="4" t="s">
        <v>111</v>
      </c>
      <c r="S6" s="4"/>
    </row>
    <row r="7" spans="2:19">
      <c r="B7"/>
      <c r="C7"/>
      <c r="D7"/>
      <c r="E7"/>
      <c r="F7"/>
      <c r="G7"/>
      <c r="H7"/>
      <c r="I7"/>
      <c r="J7"/>
      <c r="K7"/>
      <c r="L7" s="3" t="str">
        <f>IFERROR(INDEX(address[ship_state],MATCH(Sheet1!$L$3,address[ship_nm],0)) &amp; ", " &amp; INDEX(address[ship_country],MATCH(Sheet1!$L$3,address[ship_nm],0)),"")</f>
        <v/>
      </c>
      <c r="M7" s="3"/>
      <c r="N7" s="1"/>
      <c r="O7" s="1"/>
      <c r="P7" s="1"/>
      <c r="Q7"/>
      <c r="R7"/>
      <c r="S7"/>
    </row>
    <row r="8" spans="2:19">
      <c r="B8"/>
      <c r="C8"/>
      <c r="D8"/>
      <c r="E8"/>
      <c r="F8"/>
      <c r="G8"/>
      <c r="H8"/>
      <c r="I8"/>
      <c r="J8"/>
      <c r="K8"/>
      <c r="L8" s="3" t="str">
        <f>IFERROR(IF(INDEX(address[ship_phone],MATCH(Sheet1!$L$3,address[ship_nm],0))="","",INDEX(address[ship_phone],MATCH(Sheet1!$L$3,address[ship_nm],0))),"")</f>
        <v/>
      </c>
      <c r="M8" s="3"/>
      <c r="N8" s="1"/>
      <c r="O8" s="1"/>
      <c r="P8" s="1"/>
      <c r="Q8" s="1"/>
      <c r="R8" s="13" t="s">
        <v>112</v>
      </c>
      <c r="S8" s="36"/>
    </row>
    <row r="9" spans="2:19">
      <c r="B9"/>
      <c r="C9"/>
      <c r="D9"/>
      <c r="E9" s="1"/>
      <c r="F9" s="13" t="s">
        <v>113</v>
      </c>
      <c r="G9" s="36"/>
      <c r="H9"/>
      <c r="I9"/>
      <c r="J9"/>
      <c r="K9"/>
      <c r="L9"/>
      <c r="M9"/>
      <c r="N9"/>
      <c r="O9"/>
      <c r="P9"/>
      <c r="Q9"/>
      <c r="R9" s="13" t="s">
        <v>114</v>
      </c>
      <c r="S9" s="7"/>
    </row>
    <row r="10" spans="2:19">
      <c r="B10"/>
      <c r="C10"/>
      <c r="D10"/>
      <c r="F10" s="13" t="s">
        <v>115</v>
      </c>
      <c r="G10" s="7"/>
      <c r="H10"/>
      <c r="I10"/>
      <c r="J10"/>
      <c r="K10"/>
      <c r="L10"/>
      <c r="M10"/>
      <c r="N10"/>
      <c r="O10"/>
      <c r="P10"/>
      <c r="Q10"/>
      <c r="R10"/>
      <c r="S10"/>
    </row>
    <row r="11" spans="2:19">
      <c r="B11"/>
      <c r="C11"/>
      <c r="D11"/>
      <c r="F11" s="13" t="s">
        <v>116</v>
      </c>
      <c r="G11" s="6" t="s">
        <v>117</v>
      </c>
      <c r="H11"/>
      <c r="I11"/>
      <c r="J11"/>
      <c r="K11"/>
      <c r="L11"/>
      <c r="M11"/>
      <c r="N11" s="13" t="s">
        <v>118</v>
      </c>
      <c r="O11" s="41"/>
      <c r="P11" s="41"/>
      <c r="Q11"/>
      <c r="R11" s="13" t="s">
        <v>118</v>
      </c>
      <c r="S11" s="45"/>
    </row>
    <row r="12" spans="2:19">
      <c r="B12"/>
      <c r="C12"/>
      <c r="D12"/>
      <c r="F12" s="13" t="s">
        <v>119</v>
      </c>
      <c r="G12" s="6" t="s">
        <v>120</v>
      </c>
      <c r="H12"/>
      <c r="I12"/>
      <c r="J12"/>
      <c r="K12"/>
      <c r="L12"/>
      <c r="M12"/>
      <c r="N12" s="13" t="s">
        <v>69</v>
      </c>
      <c r="O12" s="41"/>
      <c r="P12" s="41"/>
      <c r="Q12"/>
      <c r="R12" s="13" t="s">
        <v>69</v>
      </c>
      <c r="S12" s="45"/>
    </row>
    <row r="13" spans="2:19">
      <c r="B13"/>
      <c r="C13"/>
      <c r="D13"/>
      <c r="F13" s="13" t="s">
        <v>121</v>
      </c>
      <c r="G13" s="6" t="s">
        <v>122</v>
      </c>
      <c r="H13"/>
      <c r="I13"/>
      <c r="J13"/>
      <c r="K13"/>
      <c r="L13"/>
      <c r="M13"/>
      <c r="N13" s="13" t="s">
        <v>78</v>
      </c>
      <c r="O13" s="41"/>
      <c r="P13" s="41"/>
      <c r="Q13"/>
      <c r="R13" s="13" t="s">
        <v>78</v>
      </c>
      <c r="S13" s="45"/>
    </row>
    <row r="14" spans="2:19">
      <c r="B14"/>
      <c r="C14"/>
      <c r="D14"/>
      <c r="E14"/>
      <c r="F14"/>
      <c r="G14"/>
      <c r="H14"/>
      <c r="I14"/>
      <c r="J14"/>
      <c r="K14"/>
      <c r="L14"/>
      <c r="M14"/>
      <c r="N14" s="13" t="s">
        <v>81</v>
      </c>
      <c r="O14" s="41"/>
      <c r="P14" s="41"/>
      <c r="Q14"/>
      <c r="R14" s="13" t="s">
        <v>81</v>
      </c>
      <c r="S14" s="45"/>
    </row>
    <row r="15" spans="2:19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2:19" ht="50.1" customHeight="1">
      <c r="B16"/>
      <c r="C16"/>
      <c r="D16"/>
      <c r="E16"/>
      <c r="F16"/>
      <c r="G16"/>
      <c r="H16"/>
      <c r="I16" s="19" t="str">
        <f>IF(AND(COUNTIF(I18:I89,"*SILVER*")&gt;0, COUNTIF(I18:I89,"*GOLD*")=0, COUNTIF(I18:I89,"*PLATINUM*")=0), "STERLING SILVER CASTING",
IF(AND(COUNTIF(I18:I89,"*PLATINUM*")&gt;0, COUNTIF(I18:I89,"*SILVER*")=0, COUNTIF(I18:I89,"*GOLD*")=0), "950 PLATINUM CASTING",
IF(AND(COUNTIF(I18:I89,"*SILVER*")&gt;0, COUNTIF(I18:I89,"*GOLD*")&gt;0, COUNTIF(I18:I89,"*PLATINUM*")&gt;0), "SILVER, GOLD AND PLATINUM CASTING",
IF(AND(COUNTIF(I18:I89,"*SILVER*")&gt;0, COUNTIF(I18:I89,"*GOLD*")&gt;0), "SILVER AND GOLD CASTING",
IF(AND(COUNTIF(I18:I89,"*SILVER*")&gt;0, COUNTIF(I18:I89,"*PLATINUM*")&gt;0), "SILVER AND PLATINUM CASTING",
IF(AND(COUNTIF(I18:I89,"*GOLD*")&gt;0, COUNTIF(I18:I89,"*PLATINUM*")&gt;0), "GOLD AND PLATINUM CASTING",
IF(COUNTIF(I18:I89,"*SILVER*")&gt;0, "SILVER CASTING",
IF(COUNTIF(I18:I89,"*GOLD*")&gt;0, "GOLD CASTING",
IF(COUNTIF(I18:I89,"*PLATINUM*")&gt;0, "PLATINUM CASTING", "")))))))))</f>
        <v/>
      </c>
      <c r="J16" s="1"/>
      <c r="K16" s="1"/>
      <c r="L16"/>
      <c r="M16"/>
      <c r="N16"/>
      <c r="O16"/>
      <c r="P16" s="43"/>
      <c r="Q16"/>
      <c r="R16"/>
      <c r="S16"/>
    </row>
    <row r="17" spans="2:19" s="9" customFormat="1" ht="69.95" customHeight="1">
      <c r="B17" s="8" t="s">
        <v>123</v>
      </c>
      <c r="C17" s="40" t="s">
        <v>124</v>
      </c>
      <c r="D17" s="8" t="s">
        <v>125</v>
      </c>
      <c r="E17" s="40" t="s">
        <v>126</v>
      </c>
      <c r="F17" s="8" t="s">
        <v>127</v>
      </c>
      <c r="G17" s="8" t="s">
        <v>128</v>
      </c>
      <c r="H17" s="8" t="s">
        <v>129</v>
      </c>
      <c r="I17" s="8" t="s">
        <v>130</v>
      </c>
      <c r="J17" s="15" t="s">
        <v>131</v>
      </c>
      <c r="K17" s="8" t="s">
        <v>132</v>
      </c>
      <c r="L17" s="16" t="s">
        <v>133</v>
      </c>
      <c r="M17" s="16" t="s">
        <v>134</v>
      </c>
      <c r="N17" s="24" t="s">
        <v>135</v>
      </c>
      <c r="O17" s="24" t="s">
        <v>136</v>
      </c>
      <c r="P17" s="16" t="s">
        <v>137</v>
      </c>
      <c r="Q17" s="16" t="s">
        <v>138</v>
      </c>
      <c r="R17" s="24" t="s">
        <v>139</v>
      </c>
      <c r="S17" s="40" t="s">
        <v>140</v>
      </c>
    </row>
    <row r="18" spans="2:19">
      <c r="B18" s="10"/>
      <c r="C18" s="10"/>
      <c r="D18" s="10"/>
      <c r="E18" s="10"/>
      <c r="F18" s="11"/>
      <c r="G18" s="11"/>
      <c r="H18" s="11"/>
      <c r="I18" s="12" t="str">
        <f>IFERROR(INDEX(metal_type[description],MATCH(J18,metal_type[metal_type],0)),"")</f>
        <v/>
      </c>
      <c r="J18" s="10"/>
      <c r="K18" s="17"/>
      <c r="L18" s="26"/>
      <c r="M18" s="26" t="str">
        <f>IF(OR(J18="",L18=""),"",ROUND(((L18*VLOOKUP(J18,metal_type[],4,0))/VLOOKUP(J18,metal_type[],6,0)),2))</f>
        <v/>
      </c>
      <c r="N18" s="20" t="str">
        <f>IF(
   OR(J18="", L18=""),
   "",
   IF(
      IFERROR(
         INDEX(
            metal_type[metal_rate_per_gram],
            MATCH(Sheet1!J18, metal_type[metal_type], 0)
         ),
         0
      ) = 0,
      "",
      L18 *
      INDEX(
         metal_type[metal_rate_per_gram],
         MATCH(Sheet1!J18, metal_type[metal_type], 0)
      )
   )
)</f>
        <v/>
      </c>
      <c r="O18" s="20" t="str">
        <f t="shared" ref="O18:O34" si="0">IF(OR(L18="",$O$11=""),"",L18*$O$11)</f>
        <v/>
      </c>
      <c r="P18" s="20" t="str">
        <f t="shared" ref="P18:P34" si="1">IF(OR(N18="",O18="",$O$11=""),"",N18+O18)</f>
        <v/>
      </c>
      <c r="Q18" s="20" t="str">
        <f t="shared" ref="Q18:Q34" si="2">IF(OR(L18="",P18=""),"",ROUND(P18/L18,2))</f>
        <v/>
      </c>
      <c r="R18" s="20" t="str">
        <f t="shared" ref="R18:R34" si="3">IF(OR(K18="",P18=""),"",ROUND(P18/K18,2))</f>
        <v/>
      </c>
      <c r="S18" s="42"/>
    </row>
    <row r="19" spans="2:19">
      <c r="B19" s="10"/>
      <c r="C19" s="10"/>
      <c r="D19" s="10"/>
      <c r="E19" s="10"/>
      <c r="F19" s="11"/>
      <c r="G19" s="11"/>
      <c r="H19" s="11"/>
      <c r="I19" s="12" t="str">
        <f>IFERROR(INDEX(metal_type[description],MATCH(J19,metal_type[metal_type],0)),"")</f>
        <v/>
      </c>
      <c r="J19" s="10"/>
      <c r="K19" s="17"/>
      <c r="L19" s="26"/>
      <c r="M19" s="26" t="str">
        <f>IF(OR(J19="",L19=""),"",ROUND(((L19*VLOOKUP(J19,metal_type[],4,0))/VLOOKUP(J19,metal_type[],6,0)),2))</f>
        <v/>
      </c>
      <c r="N19" s="20" t="str">
        <f>IF(
   OR(J19="", L19=""),
   "",
   IF(
      IFERROR(
         INDEX(
            metal_type[metal_rate_per_gram],
            MATCH(Sheet1!J19, metal_type[metal_type], 0)
         ),
         0
      ) = 0,
      "",
      L19 *
      INDEX(
         metal_type[metal_rate_per_gram],
         MATCH(Sheet1!J19, metal_type[metal_type], 0)
      )
   )
)</f>
        <v/>
      </c>
      <c r="O19" s="20" t="str">
        <f t="shared" si="0"/>
        <v/>
      </c>
      <c r="P19" s="20" t="str">
        <f t="shared" si="1"/>
        <v/>
      </c>
      <c r="Q19" s="20" t="str">
        <f t="shared" si="2"/>
        <v/>
      </c>
      <c r="R19" s="20" t="str">
        <f t="shared" si="3"/>
        <v/>
      </c>
      <c r="S19" s="42"/>
    </row>
    <row r="20" spans="2:19">
      <c r="B20" s="10"/>
      <c r="C20" s="10"/>
      <c r="D20" s="10"/>
      <c r="E20" s="10"/>
      <c r="F20" s="11"/>
      <c r="G20" s="11"/>
      <c r="H20" s="11"/>
      <c r="I20" s="12" t="str">
        <f>IFERROR(INDEX(metal_type[description],MATCH(J20,metal_type[metal_type],0)),"")</f>
        <v/>
      </c>
      <c r="J20" s="10"/>
      <c r="K20" s="17"/>
      <c r="L20" s="26"/>
      <c r="M20" s="26" t="str">
        <f>IF(OR(J20="",L20=""),"",ROUND(((L20*VLOOKUP(J20,metal_type[],4,0))/VLOOKUP(J20,metal_type[],6,0)),2))</f>
        <v/>
      </c>
      <c r="N20" s="20" t="str">
        <f>IF(
   OR(J20="", L20=""),
   "",
   IF(
      IFERROR(
         INDEX(
            metal_type[metal_rate_per_gram],
            MATCH(Sheet1!J20, metal_type[metal_type], 0)
         ),
         0
      ) = 0,
      "",
      L20 *
      INDEX(
         metal_type[metal_rate_per_gram],
         MATCH(Sheet1!J20, metal_type[metal_type], 0)
      )
   )
)</f>
        <v/>
      </c>
      <c r="O20" s="20" t="str">
        <f t="shared" si="0"/>
        <v/>
      </c>
      <c r="P20" s="20" t="str">
        <f t="shared" si="1"/>
        <v/>
      </c>
      <c r="Q20" s="20" t="str">
        <f t="shared" si="2"/>
        <v/>
      </c>
      <c r="R20" s="20" t="str">
        <f t="shared" si="3"/>
        <v/>
      </c>
      <c r="S20" s="42"/>
    </row>
    <row r="21" spans="2:19">
      <c r="B21" s="10"/>
      <c r="C21" s="10"/>
      <c r="D21" s="10"/>
      <c r="E21" s="10"/>
      <c r="F21" s="11"/>
      <c r="G21" s="11"/>
      <c r="H21" s="11"/>
      <c r="I21" s="12" t="str">
        <f>IFERROR(INDEX(metal_type[description],MATCH(J21,metal_type[metal_type],0)),"")</f>
        <v/>
      </c>
      <c r="J21" s="10"/>
      <c r="K21" s="17"/>
      <c r="L21" s="26"/>
      <c r="M21" s="26" t="str">
        <f>IF(OR(J21="",L21=""),"",ROUND(((L21*VLOOKUP(J21,metal_type[],4,0))/VLOOKUP(J21,metal_type[],6,0)),2))</f>
        <v/>
      </c>
      <c r="N21" s="20" t="str">
        <f>IF(
   OR(J21="", L21=""),
   "",
   IF(
      IFERROR(
         INDEX(
            metal_type[metal_rate_per_gram],
            MATCH(Sheet1!J21, metal_type[metal_type], 0)
         ),
         0
      ) = 0,
      "",
      L21 *
      INDEX(
         metal_type[metal_rate_per_gram],
         MATCH(Sheet1!J21, metal_type[metal_type], 0)
      )
   )
)</f>
        <v/>
      </c>
      <c r="O21" s="20" t="str">
        <f t="shared" si="0"/>
        <v/>
      </c>
      <c r="P21" s="20" t="str">
        <f t="shared" si="1"/>
        <v/>
      </c>
      <c r="Q21" s="20" t="str">
        <f t="shared" si="2"/>
        <v/>
      </c>
      <c r="R21" s="20" t="str">
        <f t="shared" si="3"/>
        <v/>
      </c>
      <c r="S21" s="42"/>
    </row>
    <row r="22" spans="2:19">
      <c r="B22" s="10"/>
      <c r="C22" s="10"/>
      <c r="D22" s="10"/>
      <c r="E22" s="10"/>
      <c r="F22" s="11"/>
      <c r="G22" s="11"/>
      <c r="H22" s="11"/>
      <c r="I22" s="12" t="str">
        <f>IFERROR(INDEX(metal_type[description],MATCH(J22,metal_type[metal_type],0)),"")</f>
        <v/>
      </c>
      <c r="J22" s="10"/>
      <c r="K22" s="17"/>
      <c r="L22" s="26"/>
      <c r="M22" s="26" t="str">
        <f>IF(OR(J22="",L22=""),"",ROUND(((L22*VLOOKUP(J22,metal_type[],4,0))/VLOOKUP(J22,metal_type[],6,0)),2))</f>
        <v/>
      </c>
      <c r="N22" s="20" t="str">
        <f>IF(
   OR(J22="", L22=""),
   "",
   IF(
      IFERROR(
         INDEX(
            metal_type[metal_rate_per_gram],
            MATCH(Sheet1!J22, metal_type[metal_type], 0)
         ),
         0
      ) = 0,
      "",
      L22 *
      INDEX(
         metal_type[metal_rate_per_gram],
         MATCH(Sheet1!J22, metal_type[metal_type], 0)
      )
   )
)</f>
        <v/>
      </c>
      <c r="O22" s="20" t="str">
        <f t="shared" si="0"/>
        <v/>
      </c>
      <c r="P22" s="20" t="str">
        <f t="shared" si="1"/>
        <v/>
      </c>
      <c r="Q22" s="20" t="str">
        <f t="shared" si="2"/>
        <v/>
      </c>
      <c r="R22" s="20" t="str">
        <f t="shared" si="3"/>
        <v/>
      </c>
      <c r="S22" s="42"/>
    </row>
    <row r="23" spans="2:19">
      <c r="B23" s="10"/>
      <c r="C23" s="10"/>
      <c r="D23" s="10"/>
      <c r="E23" s="10"/>
      <c r="F23" s="11"/>
      <c r="G23" s="11"/>
      <c r="H23" s="11"/>
      <c r="I23" s="12" t="str">
        <f>IFERROR(INDEX(metal_type[description],MATCH(J23,metal_type[metal_type],0)),"")</f>
        <v/>
      </c>
      <c r="J23" s="10"/>
      <c r="K23" s="17"/>
      <c r="L23" s="26"/>
      <c r="M23" s="26" t="str">
        <f>IF(OR(J23="",L23=""),"",ROUND(((L23*VLOOKUP(J23,metal_type[],4,0))/VLOOKUP(J23,metal_type[],6,0)),2))</f>
        <v/>
      </c>
      <c r="N23" s="20" t="str">
        <f>IF(
   OR(J23="", L23=""),
   "",
   IF(
      IFERROR(
         INDEX(
            metal_type[metal_rate_per_gram],
            MATCH(Sheet1!J23, metal_type[metal_type], 0)
         ),
         0
      ) = 0,
      "",
      L23 *
      INDEX(
         metal_type[metal_rate_per_gram],
         MATCH(Sheet1!J23, metal_type[metal_type], 0)
      )
   )
)</f>
        <v/>
      </c>
      <c r="O23" s="20" t="str">
        <f t="shared" si="0"/>
        <v/>
      </c>
      <c r="P23" s="20" t="str">
        <f t="shared" si="1"/>
        <v/>
      </c>
      <c r="Q23" s="20" t="str">
        <f t="shared" si="2"/>
        <v/>
      </c>
      <c r="R23" s="20" t="str">
        <f t="shared" si="3"/>
        <v/>
      </c>
      <c r="S23" s="42"/>
    </row>
    <row r="24" spans="2:19">
      <c r="B24" s="10"/>
      <c r="C24" s="10"/>
      <c r="D24" s="10"/>
      <c r="E24" s="10"/>
      <c r="F24" s="11"/>
      <c r="G24" s="11"/>
      <c r="H24" s="11"/>
      <c r="I24" s="12" t="str">
        <f>IFERROR(INDEX(metal_type[description],MATCH(J24,metal_type[metal_type],0)),"")</f>
        <v/>
      </c>
      <c r="J24" s="10"/>
      <c r="K24" s="17"/>
      <c r="L24" s="26"/>
      <c r="M24" s="26" t="str">
        <f>IF(OR(J24="",L24=""),"",ROUND(((L24*VLOOKUP(J24,metal_type[],4,0))/VLOOKUP(J24,metal_type[],6,0)),2))</f>
        <v/>
      </c>
      <c r="N24" s="20" t="str">
        <f>IF(
   OR(J24="", L24=""),
   "",
   IF(
      IFERROR(
         INDEX(
            metal_type[metal_rate_per_gram],
            MATCH(Sheet1!J24, metal_type[metal_type], 0)
         ),
         0
      ) = 0,
      "",
      L24 *
      INDEX(
         metal_type[metal_rate_per_gram],
         MATCH(Sheet1!J24, metal_type[metal_type], 0)
      )
   )
)</f>
        <v/>
      </c>
      <c r="O24" s="20" t="str">
        <f t="shared" si="0"/>
        <v/>
      </c>
      <c r="P24" s="20" t="str">
        <f t="shared" si="1"/>
        <v/>
      </c>
      <c r="Q24" s="20" t="str">
        <f t="shared" si="2"/>
        <v/>
      </c>
      <c r="R24" s="20" t="str">
        <f t="shared" si="3"/>
        <v/>
      </c>
      <c r="S24" s="42"/>
    </row>
    <row r="25" spans="2:19">
      <c r="B25" s="10"/>
      <c r="C25" s="10"/>
      <c r="D25" s="10"/>
      <c r="E25" s="10"/>
      <c r="F25" s="11"/>
      <c r="G25" s="11"/>
      <c r="H25" s="11"/>
      <c r="I25" s="12" t="str">
        <f>IFERROR(INDEX(metal_type[description],MATCH(J25,metal_type[metal_type],0)),"")</f>
        <v/>
      </c>
      <c r="J25" s="10"/>
      <c r="K25" s="17"/>
      <c r="L25" s="26"/>
      <c r="M25" s="26" t="str">
        <f>IF(OR(J25="",L25=""),"",ROUND(((L25*VLOOKUP(J25,metal_type[],4,0))/VLOOKUP(J25,metal_type[],6,0)),2))</f>
        <v/>
      </c>
      <c r="N25" s="20" t="str">
        <f>IF(
   OR(J25="", L25=""),
   "",
   IF(
      IFERROR(
         INDEX(
            metal_type[metal_rate_per_gram],
            MATCH(Sheet1!J25, metal_type[metal_type], 0)
         ),
         0
      ) = 0,
      "",
      L25 *
      INDEX(
         metal_type[metal_rate_per_gram],
         MATCH(Sheet1!J25, metal_type[metal_type], 0)
      )
   )
)</f>
        <v/>
      </c>
      <c r="O25" s="20" t="str">
        <f t="shared" si="0"/>
        <v/>
      </c>
      <c r="P25" s="20" t="str">
        <f t="shared" si="1"/>
        <v/>
      </c>
      <c r="Q25" s="20" t="str">
        <f t="shared" si="2"/>
        <v/>
      </c>
      <c r="R25" s="20" t="str">
        <f t="shared" si="3"/>
        <v/>
      </c>
      <c r="S25" s="42"/>
    </row>
    <row r="26" spans="2:19">
      <c r="B26" s="10"/>
      <c r="C26" s="10"/>
      <c r="D26" s="10"/>
      <c r="E26" s="10"/>
      <c r="F26" s="11"/>
      <c r="G26" s="11"/>
      <c r="H26" s="11"/>
      <c r="I26" s="12" t="str">
        <f>IFERROR(INDEX(metal_type[description],MATCH(J26,metal_type[metal_type],0)),"")</f>
        <v/>
      </c>
      <c r="J26" s="10"/>
      <c r="K26" s="17"/>
      <c r="L26" s="26"/>
      <c r="M26" s="26" t="str">
        <f>IF(OR(J26="",L26=""),"",ROUND(((L26*VLOOKUP(J26,metal_type[],4,0))/VLOOKUP(J26,metal_type[],6,0)),2))</f>
        <v/>
      </c>
      <c r="N26" s="20" t="str">
        <f>IF(
   OR(J26="", L26=""),
   "",
   IF(
      IFERROR(
         INDEX(
            metal_type[metal_rate_per_gram],
            MATCH(Sheet1!J26, metal_type[metal_type], 0)
         ),
         0
      ) = 0,
      "",
      L26 *
      INDEX(
         metal_type[metal_rate_per_gram],
         MATCH(Sheet1!J26, metal_type[metal_type], 0)
      )
   )
)</f>
        <v/>
      </c>
      <c r="O26" s="20" t="str">
        <f t="shared" si="0"/>
        <v/>
      </c>
      <c r="P26" s="20" t="str">
        <f t="shared" si="1"/>
        <v/>
      </c>
      <c r="Q26" s="20" t="str">
        <f t="shared" si="2"/>
        <v/>
      </c>
      <c r="R26" s="20" t="str">
        <f t="shared" si="3"/>
        <v/>
      </c>
      <c r="S26" s="42"/>
    </row>
    <row r="27" spans="2:19">
      <c r="B27" s="10"/>
      <c r="C27" s="10"/>
      <c r="D27" s="10"/>
      <c r="E27" s="10"/>
      <c r="F27" s="11"/>
      <c r="G27" s="11"/>
      <c r="H27" s="11"/>
      <c r="I27" s="12" t="str">
        <f>IFERROR(INDEX(metal_type[description],MATCH(J27,metal_type[metal_type],0)),"")</f>
        <v/>
      </c>
      <c r="J27" s="10"/>
      <c r="K27" s="17"/>
      <c r="L27" s="26"/>
      <c r="M27" s="26" t="str">
        <f>IF(OR(J27="",L27=""),"",ROUND(((L27*VLOOKUP(J27,metal_type[],4,0))/VLOOKUP(J27,metal_type[],6,0)),2))</f>
        <v/>
      </c>
      <c r="N27" s="20" t="str">
        <f>IF(
   OR(J27="", L27=""),
   "",
   IF(
      IFERROR(
         INDEX(
            metal_type[metal_rate_per_gram],
            MATCH(Sheet1!J27, metal_type[metal_type], 0)
         ),
         0
      ) = 0,
      "",
      L27 *
      INDEX(
         metal_type[metal_rate_per_gram],
         MATCH(Sheet1!J27, metal_type[metal_type], 0)
      )
   )
)</f>
        <v/>
      </c>
      <c r="O27" s="20" t="str">
        <f t="shared" si="0"/>
        <v/>
      </c>
      <c r="P27" s="20" t="str">
        <f t="shared" si="1"/>
        <v/>
      </c>
      <c r="Q27" s="20" t="str">
        <f t="shared" si="2"/>
        <v/>
      </c>
      <c r="R27" s="20" t="str">
        <f t="shared" si="3"/>
        <v/>
      </c>
      <c r="S27" s="42"/>
    </row>
    <row r="28" spans="2:19">
      <c r="B28" s="10"/>
      <c r="C28" s="10"/>
      <c r="D28" s="10"/>
      <c r="E28" s="10"/>
      <c r="F28" s="11"/>
      <c r="G28" s="11"/>
      <c r="H28" s="11"/>
      <c r="I28" s="12" t="str">
        <f>IFERROR(INDEX(metal_type[description],MATCH(J28,metal_type[metal_type],0)),"")</f>
        <v/>
      </c>
      <c r="J28" s="10"/>
      <c r="K28" s="17"/>
      <c r="L28" s="26"/>
      <c r="M28" s="26" t="str">
        <f>IF(OR(J28="",L28=""),"",ROUND(((L28*VLOOKUP(J28,metal_type[],4,0))/VLOOKUP(J28,metal_type[],6,0)),2))</f>
        <v/>
      </c>
      <c r="N28" s="20" t="str">
        <f>IF(
   OR(J28="", L28=""),
   "",
   IF(
      IFERROR(
         INDEX(
            metal_type[metal_rate_per_gram],
            MATCH(Sheet1!J28, metal_type[metal_type], 0)
         ),
         0
      ) = 0,
      "",
      L28 *
      INDEX(
         metal_type[metal_rate_per_gram],
         MATCH(Sheet1!J28, metal_type[metal_type], 0)
      )
   )
)</f>
        <v/>
      </c>
      <c r="O28" s="20" t="str">
        <f t="shared" si="0"/>
        <v/>
      </c>
      <c r="P28" s="20" t="str">
        <f t="shared" si="1"/>
        <v/>
      </c>
      <c r="Q28" s="20" t="str">
        <f t="shared" si="2"/>
        <v/>
      </c>
      <c r="R28" s="20" t="str">
        <f t="shared" si="3"/>
        <v/>
      </c>
      <c r="S28" s="42"/>
    </row>
    <row r="29" spans="2:19">
      <c r="B29" s="10"/>
      <c r="C29" s="10"/>
      <c r="D29" s="10"/>
      <c r="E29" s="10"/>
      <c r="F29" s="11"/>
      <c r="G29" s="11"/>
      <c r="H29" s="11"/>
      <c r="I29" s="12" t="str">
        <f>IFERROR(INDEX(metal_type[description],MATCH(J29,metal_type[metal_type],0)),"")</f>
        <v/>
      </c>
      <c r="J29" s="10"/>
      <c r="K29" s="17"/>
      <c r="L29" s="26"/>
      <c r="M29" s="26" t="str">
        <f>IF(OR(J29="",L29=""),"",ROUND(((L29*VLOOKUP(J29,metal_type[],4,0))/VLOOKUP(J29,metal_type[],6,0)),2))</f>
        <v/>
      </c>
      <c r="N29" s="20" t="str">
        <f>IF(
   OR(J29="", L29=""),
   "",
   IF(
      IFERROR(
         INDEX(
            metal_type[metal_rate_per_gram],
            MATCH(Sheet1!J29, metal_type[metal_type], 0)
         ),
         0
      ) = 0,
      "",
      L29 *
      INDEX(
         metal_type[metal_rate_per_gram],
         MATCH(Sheet1!J29, metal_type[metal_type], 0)
      )
   )
)</f>
        <v/>
      </c>
      <c r="O29" s="20" t="str">
        <f t="shared" si="0"/>
        <v/>
      </c>
      <c r="P29" s="20" t="str">
        <f t="shared" si="1"/>
        <v/>
      </c>
      <c r="Q29" s="20" t="str">
        <f t="shared" si="2"/>
        <v/>
      </c>
      <c r="R29" s="20" t="str">
        <f t="shared" si="3"/>
        <v/>
      </c>
      <c r="S29" s="42"/>
    </row>
    <row r="30" spans="2:19">
      <c r="B30" s="10"/>
      <c r="C30" s="10"/>
      <c r="D30" s="10"/>
      <c r="E30" s="10"/>
      <c r="F30" s="11"/>
      <c r="G30" s="11"/>
      <c r="H30" s="11"/>
      <c r="I30" s="12" t="str">
        <f>IFERROR(INDEX(metal_type[description],MATCH(J30,metal_type[metal_type],0)),"")</f>
        <v/>
      </c>
      <c r="J30" s="10"/>
      <c r="K30" s="17"/>
      <c r="L30" s="26"/>
      <c r="M30" s="26" t="str">
        <f>IF(OR(J30="",L30=""),"",ROUND(((L30*VLOOKUP(J30,metal_type[],4,0))/VLOOKUP(J30,metal_type[],6,0)),2))</f>
        <v/>
      </c>
      <c r="N30" s="20" t="str">
        <f>IF(
   OR(J30="", L30=""),
   "",
   IF(
      IFERROR(
         INDEX(
            metal_type[metal_rate_per_gram],
            MATCH(Sheet1!J30, metal_type[metal_type], 0)
         ),
         0
      ) = 0,
      "",
      L30 *
      INDEX(
         metal_type[metal_rate_per_gram],
         MATCH(Sheet1!J30, metal_type[metal_type], 0)
      )
   )
)</f>
        <v/>
      </c>
      <c r="O30" s="20" t="str">
        <f t="shared" si="0"/>
        <v/>
      </c>
      <c r="P30" s="20" t="str">
        <f t="shared" si="1"/>
        <v/>
      </c>
      <c r="Q30" s="20" t="str">
        <f t="shared" si="2"/>
        <v/>
      </c>
      <c r="R30" s="20" t="str">
        <f t="shared" si="3"/>
        <v/>
      </c>
      <c r="S30" s="42"/>
    </row>
    <row r="31" spans="2:19">
      <c r="B31" s="10"/>
      <c r="C31" s="10"/>
      <c r="D31" s="10"/>
      <c r="E31" s="10"/>
      <c r="F31" s="11"/>
      <c r="G31" s="11"/>
      <c r="H31" s="11"/>
      <c r="I31" s="12" t="str">
        <f>IFERROR(INDEX(metal_type[description],MATCH(J31,metal_type[metal_type],0)),"")</f>
        <v/>
      </c>
      <c r="J31" s="10"/>
      <c r="K31" s="17"/>
      <c r="L31" s="26"/>
      <c r="M31" s="26" t="str">
        <f>IF(OR(J31="",L31=""),"",ROUND(((L31*VLOOKUP(J31,metal_type[],4,0))/VLOOKUP(J31,metal_type[],6,0)),2))</f>
        <v/>
      </c>
      <c r="N31" s="20" t="str">
        <f>IF(
   OR(J31="", L31=""),
   "",
   IF(
      IFERROR(
         INDEX(
            metal_type[metal_rate_per_gram],
            MATCH(Sheet1!J31, metal_type[metal_type], 0)
         ),
         0
      ) = 0,
      "",
      L31 *
      INDEX(
         metal_type[metal_rate_per_gram],
         MATCH(Sheet1!J31, metal_type[metal_type], 0)
      )
   )
)</f>
        <v/>
      </c>
      <c r="O31" s="20" t="str">
        <f t="shared" si="0"/>
        <v/>
      </c>
      <c r="P31" s="20" t="str">
        <f t="shared" si="1"/>
        <v/>
      </c>
      <c r="Q31" s="20" t="str">
        <f t="shared" si="2"/>
        <v/>
      </c>
      <c r="R31" s="20" t="str">
        <f t="shared" si="3"/>
        <v/>
      </c>
      <c r="S31" s="42"/>
    </row>
    <row r="32" spans="2:19">
      <c r="B32" s="10"/>
      <c r="C32" s="10"/>
      <c r="D32" s="10"/>
      <c r="E32" s="10"/>
      <c r="F32" s="11"/>
      <c r="G32" s="11"/>
      <c r="H32" s="11"/>
      <c r="I32" s="12" t="str">
        <f>IFERROR(INDEX(metal_type[description],MATCH(J32,metal_type[metal_type],0)),"")</f>
        <v/>
      </c>
      <c r="J32" s="10"/>
      <c r="K32" s="17"/>
      <c r="L32" s="26"/>
      <c r="M32" s="26" t="str">
        <f>IF(OR(J32="",L32=""),"",ROUND(((L32*VLOOKUP(J32,metal_type[],4,0))/VLOOKUP(J32,metal_type[],6,0)),2))</f>
        <v/>
      </c>
      <c r="N32" s="20" t="str">
        <f>IF(
   OR(J32="", L32=""),
   "",
   IF(
      IFERROR(
         INDEX(
            metal_type[metal_rate_per_gram],
            MATCH(Sheet1!J32, metal_type[metal_type], 0)
         ),
         0
      ) = 0,
      "",
      L32 *
      INDEX(
         metal_type[metal_rate_per_gram],
         MATCH(Sheet1!J32, metal_type[metal_type], 0)
      )
   )
)</f>
        <v/>
      </c>
      <c r="O32" s="20" t="str">
        <f t="shared" si="0"/>
        <v/>
      </c>
      <c r="P32" s="20" t="str">
        <f t="shared" si="1"/>
        <v/>
      </c>
      <c r="Q32" s="20" t="str">
        <f t="shared" si="2"/>
        <v/>
      </c>
      <c r="R32" s="20" t="str">
        <f t="shared" si="3"/>
        <v/>
      </c>
      <c r="S32" s="42"/>
    </row>
    <row r="33" spans="2:19">
      <c r="B33" s="10"/>
      <c r="C33" s="10"/>
      <c r="D33" s="10"/>
      <c r="E33" s="10"/>
      <c r="F33" s="11"/>
      <c r="G33" s="11"/>
      <c r="H33" s="11"/>
      <c r="I33" s="12" t="str">
        <f>IFERROR(INDEX(metal_type[description],MATCH(J33,metal_type[metal_type],0)),"")</f>
        <v/>
      </c>
      <c r="J33" s="10"/>
      <c r="K33" s="17"/>
      <c r="L33" s="26"/>
      <c r="M33" s="26" t="str">
        <f>IF(OR(J33="",L33=""),"",ROUND(((L33*VLOOKUP(J33,metal_type[],4,0))/VLOOKUP(J33,metal_type[],6,0)),2))</f>
        <v/>
      </c>
      <c r="N33" s="20" t="str">
        <f>IF(
   OR(J33="", L33=""),
   "",
   IF(
      IFERROR(
         INDEX(
            metal_type[metal_rate_per_gram],
            MATCH(Sheet1!J33, metal_type[metal_type], 0)
         ),
         0
      ) = 0,
      "",
      L33 *
      INDEX(
         metal_type[metal_rate_per_gram],
         MATCH(Sheet1!J33, metal_type[metal_type], 0)
      )
   )
)</f>
        <v/>
      </c>
      <c r="O33" s="20" t="str">
        <f t="shared" si="0"/>
        <v/>
      </c>
      <c r="P33" s="20" t="str">
        <f t="shared" si="1"/>
        <v/>
      </c>
      <c r="Q33" s="20" t="str">
        <f t="shared" si="2"/>
        <v/>
      </c>
      <c r="R33" s="20" t="str">
        <f t="shared" si="3"/>
        <v/>
      </c>
      <c r="S33" s="42"/>
    </row>
    <row r="34" spans="2:19">
      <c r="B34" s="10"/>
      <c r="C34" s="10"/>
      <c r="D34" s="10"/>
      <c r="E34" s="10"/>
      <c r="F34" s="11"/>
      <c r="G34" s="11"/>
      <c r="H34" s="11"/>
      <c r="I34" s="12" t="str">
        <f>IFERROR(INDEX(metal_type[description],MATCH(J34,metal_type[metal_type],0)),"")</f>
        <v/>
      </c>
      <c r="J34" s="10"/>
      <c r="K34" s="17"/>
      <c r="L34" s="26"/>
      <c r="M34" s="26" t="str">
        <f>IF(OR(J34="",L34=""),"",ROUND(((L34*VLOOKUP(J34,metal_type[],4,0))/VLOOKUP(J34,metal_type[],6,0)),2))</f>
        <v/>
      </c>
      <c r="N34" s="20" t="str">
        <f>IF(
   OR(J34="", L34=""),
   "",
   IF(
      IFERROR(
         INDEX(
            metal_type[metal_rate_per_gram],
            MATCH(Sheet1!J34, metal_type[metal_type], 0)
         ),
         0
      ) = 0,
      "",
      L34 *
      INDEX(
         metal_type[metal_rate_per_gram],
         MATCH(Sheet1!J34, metal_type[metal_type], 0)
      )
   )
)</f>
        <v/>
      </c>
      <c r="O34" s="20" t="str">
        <f t="shared" si="0"/>
        <v/>
      </c>
      <c r="P34" s="20" t="str">
        <f t="shared" si="1"/>
        <v/>
      </c>
      <c r="Q34" s="20" t="str">
        <f t="shared" si="2"/>
        <v/>
      </c>
      <c r="R34" s="20" t="str">
        <f t="shared" si="3"/>
        <v/>
      </c>
      <c r="S34" s="42"/>
    </row>
    <row r="35" spans="2:19">
      <c r="B35" s="10"/>
      <c r="C35" s="10"/>
      <c r="D35" s="10"/>
      <c r="E35" s="10"/>
      <c r="F35" s="11"/>
      <c r="G35" s="11"/>
      <c r="H35" s="11"/>
      <c r="I35" s="12" t="str">
        <f>IFERROR(INDEX(metal_type[description],MATCH(J35,metal_type[metal_type],0)),"")</f>
        <v/>
      </c>
      <c r="J35" s="10"/>
      <c r="K35" s="17"/>
      <c r="L35" s="26"/>
      <c r="M35" s="26" t="str">
        <f>IF(OR(J35="",L35=""),"",ROUND(((L35*VLOOKUP(J35,metal_type[],4,0))/VLOOKUP(J35,metal_type[],6,0)),2))</f>
        <v/>
      </c>
      <c r="N35" s="20" t="str">
        <f>IF(
   OR(J35="", L35=""),
   "",
   IF(
      IFERROR(
         INDEX(
            metal_type[metal_rate_per_gram],
            MATCH(Sheet1!J35, metal_type[metal_type], 0)
         ),
         0
      ) = 0,
      "",
      L35 *
      INDEX(
         metal_type[metal_rate_per_gram],
         MATCH(Sheet1!J35, metal_type[metal_type], 0)
      )
   )
)</f>
        <v/>
      </c>
      <c r="O35" s="20" t="str">
        <f t="shared" ref="O35:O72" si="4">IF(OR(L35="",$O$11=""),"",L35*$O$11)</f>
        <v/>
      </c>
      <c r="P35" s="20" t="str">
        <f t="shared" ref="P35:P72" si="5">IF(OR(N35="",O35="",$O$11=""),"",N35+O35)</f>
        <v/>
      </c>
      <c r="Q35" s="20" t="str">
        <f t="shared" ref="Q35:Q72" si="6">IF(OR(L35="",P35=""),"",ROUND(P35/L35,2))</f>
        <v/>
      </c>
      <c r="R35" s="20" t="str">
        <f t="shared" ref="R35:R72" si="7">IF(OR(K35="",P35=""),"",ROUND(P35/K35,2))</f>
        <v/>
      </c>
      <c r="S35" s="42"/>
    </row>
    <row r="36" spans="2:19">
      <c r="B36" s="10"/>
      <c r="C36" s="10"/>
      <c r="D36" s="10"/>
      <c r="E36" s="10"/>
      <c r="F36" s="11"/>
      <c r="G36" s="11"/>
      <c r="H36" s="11"/>
      <c r="I36" s="12" t="str">
        <f>IFERROR(INDEX(metal_type[description],MATCH(J36,metal_type[metal_type],0)),"")</f>
        <v/>
      </c>
      <c r="J36" s="10"/>
      <c r="K36" s="17"/>
      <c r="L36" s="26"/>
      <c r="M36" s="26" t="str">
        <f>IF(OR(J36="",L36=""),"",ROUND(((L36*VLOOKUP(J36,metal_type[],4,0))/VLOOKUP(J36,metal_type[],6,0)),2))</f>
        <v/>
      </c>
      <c r="N36" s="20" t="str">
        <f>IF(
   OR(J36="", L36=""),
   "",
   IF(
      IFERROR(
         INDEX(
            metal_type[metal_rate_per_gram],
            MATCH(Sheet1!J36, metal_type[metal_type], 0)
         ),
         0
      ) = 0,
      "",
      L36 *
      INDEX(
         metal_type[metal_rate_per_gram],
         MATCH(Sheet1!J36, metal_type[metal_type], 0)
      )
   )
)</f>
        <v/>
      </c>
      <c r="O36" s="20" t="str">
        <f t="shared" si="4"/>
        <v/>
      </c>
      <c r="P36" s="20" t="str">
        <f t="shared" si="5"/>
        <v/>
      </c>
      <c r="Q36" s="20" t="str">
        <f t="shared" si="6"/>
        <v/>
      </c>
      <c r="R36" s="20" t="str">
        <f t="shared" si="7"/>
        <v/>
      </c>
      <c r="S36" s="42"/>
    </row>
    <row r="37" spans="2:19">
      <c r="B37" s="10"/>
      <c r="C37" s="10"/>
      <c r="D37" s="10"/>
      <c r="E37" s="10"/>
      <c r="F37" s="11"/>
      <c r="G37" s="11"/>
      <c r="H37" s="11"/>
      <c r="I37" s="12" t="str">
        <f>IFERROR(INDEX(metal_type[description],MATCH(J37,metal_type[metal_type],0)),"")</f>
        <v/>
      </c>
      <c r="J37" s="10"/>
      <c r="K37" s="17"/>
      <c r="L37" s="26"/>
      <c r="M37" s="26" t="str">
        <f>IF(OR(J37="",L37=""),"",ROUND(((L37*VLOOKUP(J37,metal_type[],4,0))/VLOOKUP(J37,metal_type[],6,0)),2))</f>
        <v/>
      </c>
      <c r="N37" s="20" t="str">
        <f>IF(
   OR(J37="", L37=""),
   "",
   IF(
      IFERROR(
         INDEX(
            metal_type[metal_rate_per_gram],
            MATCH(Sheet1!J37, metal_type[metal_type], 0)
         ),
         0
      ) = 0,
      "",
      L37 *
      INDEX(
         metal_type[metal_rate_per_gram],
         MATCH(Sheet1!J37, metal_type[metal_type], 0)
      )
   )
)</f>
        <v/>
      </c>
      <c r="O37" s="20" t="str">
        <f t="shared" si="4"/>
        <v/>
      </c>
      <c r="P37" s="20" t="str">
        <f t="shared" si="5"/>
        <v/>
      </c>
      <c r="Q37" s="20" t="str">
        <f t="shared" si="6"/>
        <v/>
      </c>
      <c r="R37" s="20" t="str">
        <f t="shared" si="7"/>
        <v/>
      </c>
      <c r="S37" s="42"/>
    </row>
    <row r="38" spans="2:19">
      <c r="B38" s="10"/>
      <c r="C38" s="10"/>
      <c r="D38" s="10"/>
      <c r="E38" s="10"/>
      <c r="F38" s="11"/>
      <c r="G38" s="11"/>
      <c r="H38" s="11"/>
      <c r="I38" s="12" t="str">
        <f>IFERROR(INDEX(metal_type[description],MATCH(J38,metal_type[metal_type],0)),"")</f>
        <v/>
      </c>
      <c r="J38" s="10"/>
      <c r="K38" s="17"/>
      <c r="L38" s="26"/>
      <c r="M38" s="26" t="str">
        <f>IF(OR(J38="",L38=""),"",ROUND(((L38*VLOOKUP(J38,metal_type[],4,0))/VLOOKUP(J38,metal_type[],6,0)),2))</f>
        <v/>
      </c>
      <c r="N38" s="20" t="str">
        <f>IF(
   OR(J38="", L38=""),
   "",
   IF(
      IFERROR(
         INDEX(
            metal_type[metal_rate_per_gram],
            MATCH(Sheet1!J38, metal_type[metal_type], 0)
         ),
         0
      ) = 0,
      "",
      L38 *
      INDEX(
         metal_type[metal_rate_per_gram],
         MATCH(Sheet1!J38, metal_type[metal_type], 0)
      )
   )
)</f>
        <v/>
      </c>
      <c r="O38" s="20" t="str">
        <f t="shared" si="4"/>
        <v/>
      </c>
      <c r="P38" s="20" t="str">
        <f t="shared" si="5"/>
        <v/>
      </c>
      <c r="Q38" s="20" t="str">
        <f t="shared" si="6"/>
        <v/>
      </c>
      <c r="R38" s="20" t="str">
        <f t="shared" si="7"/>
        <v/>
      </c>
      <c r="S38" s="42"/>
    </row>
    <row r="39" spans="2:19">
      <c r="B39" s="10"/>
      <c r="C39" s="10"/>
      <c r="D39" s="10"/>
      <c r="E39" s="10"/>
      <c r="F39" s="11"/>
      <c r="G39" s="11"/>
      <c r="H39" s="11"/>
      <c r="I39" s="12" t="str">
        <f>IFERROR(INDEX(metal_type[description],MATCH(J39,metal_type[metal_type],0)),"")</f>
        <v/>
      </c>
      <c r="J39" s="10"/>
      <c r="K39" s="17"/>
      <c r="L39" s="26"/>
      <c r="M39" s="26" t="str">
        <f>IF(OR(J39="",L39=""),"",ROUND(((L39*VLOOKUP(J39,metal_type[],4,0))/VLOOKUP(J39,metal_type[],6,0)),2))</f>
        <v/>
      </c>
      <c r="N39" s="20" t="str">
        <f>IF(
   OR(J39="", L39=""),
   "",
   IF(
      IFERROR(
         INDEX(
            metal_type[metal_rate_per_gram],
            MATCH(Sheet1!J39, metal_type[metal_type], 0)
         ),
         0
      ) = 0,
      "",
      L39 *
      INDEX(
         metal_type[metal_rate_per_gram],
         MATCH(Sheet1!J39, metal_type[metal_type], 0)
      )
   )
)</f>
        <v/>
      </c>
      <c r="O39" s="20" t="str">
        <f t="shared" si="4"/>
        <v/>
      </c>
      <c r="P39" s="20" t="str">
        <f t="shared" si="5"/>
        <v/>
      </c>
      <c r="Q39" s="20" t="str">
        <f t="shared" si="6"/>
        <v/>
      </c>
      <c r="R39" s="20" t="str">
        <f t="shared" si="7"/>
        <v/>
      </c>
      <c r="S39" s="42"/>
    </row>
    <row r="40" spans="2:19">
      <c r="B40" s="10"/>
      <c r="C40" s="10"/>
      <c r="D40" s="10"/>
      <c r="E40" s="10"/>
      <c r="F40" s="11"/>
      <c r="G40" s="11"/>
      <c r="H40" s="11"/>
      <c r="I40" s="12" t="str">
        <f>IFERROR(INDEX(metal_type[description],MATCH(J40,metal_type[metal_type],0)),"")</f>
        <v/>
      </c>
      <c r="J40" s="10"/>
      <c r="K40" s="17"/>
      <c r="L40" s="26"/>
      <c r="M40" s="26" t="str">
        <f>IF(OR(J40="",L40=""),"",ROUND(((L40*VLOOKUP(J40,metal_type[],4,0))/VLOOKUP(J40,metal_type[],6,0)),2))</f>
        <v/>
      </c>
      <c r="N40" s="20" t="str">
        <f>IF(
   OR(J40="", L40=""),
   "",
   IF(
      IFERROR(
         INDEX(
            metal_type[metal_rate_per_gram],
            MATCH(Sheet1!J40, metal_type[metal_type], 0)
         ),
         0
      ) = 0,
      "",
      L40 *
      INDEX(
         metal_type[metal_rate_per_gram],
         MATCH(Sheet1!J40, metal_type[metal_type], 0)
      )
   )
)</f>
        <v/>
      </c>
      <c r="O40" s="20" t="str">
        <f t="shared" si="4"/>
        <v/>
      </c>
      <c r="P40" s="20" t="str">
        <f t="shared" si="5"/>
        <v/>
      </c>
      <c r="Q40" s="20" t="str">
        <f t="shared" si="6"/>
        <v/>
      </c>
      <c r="R40" s="20" t="str">
        <f t="shared" si="7"/>
        <v/>
      </c>
      <c r="S40" s="42"/>
    </row>
    <row r="41" spans="2:19">
      <c r="B41" s="10"/>
      <c r="C41" s="10"/>
      <c r="D41" s="10"/>
      <c r="E41" s="10"/>
      <c r="F41" s="11"/>
      <c r="G41" s="11"/>
      <c r="H41" s="11"/>
      <c r="I41" s="12" t="str">
        <f>IFERROR(INDEX(metal_type[description],MATCH(J41,metal_type[metal_type],0)),"")</f>
        <v/>
      </c>
      <c r="J41" s="10"/>
      <c r="K41" s="17"/>
      <c r="L41" s="26"/>
      <c r="M41" s="26" t="str">
        <f>IF(OR(J41="",L41=""),"",ROUND(((L41*VLOOKUP(J41,metal_type[],4,0))/VLOOKUP(J41,metal_type[],6,0)),2))</f>
        <v/>
      </c>
      <c r="N41" s="20" t="str">
        <f>IF(
   OR(J41="", L41=""),
   "",
   IF(
      IFERROR(
         INDEX(
            metal_type[metal_rate_per_gram],
            MATCH(Sheet1!J41, metal_type[metal_type], 0)
         ),
         0
      ) = 0,
      "",
      L41 *
      INDEX(
         metal_type[metal_rate_per_gram],
         MATCH(Sheet1!J41, metal_type[metal_type], 0)
      )
   )
)</f>
        <v/>
      </c>
      <c r="O41" s="20" t="str">
        <f t="shared" si="4"/>
        <v/>
      </c>
      <c r="P41" s="20" t="str">
        <f t="shared" si="5"/>
        <v/>
      </c>
      <c r="Q41" s="20" t="str">
        <f t="shared" si="6"/>
        <v/>
      </c>
      <c r="R41" s="20" t="str">
        <f t="shared" si="7"/>
        <v/>
      </c>
      <c r="S41" s="42"/>
    </row>
    <row r="42" spans="2:19">
      <c r="B42" s="10"/>
      <c r="C42" s="10"/>
      <c r="D42" s="10"/>
      <c r="E42" s="10"/>
      <c r="F42" s="11"/>
      <c r="G42" s="11"/>
      <c r="H42" s="11"/>
      <c r="I42" s="12" t="str">
        <f>IFERROR(INDEX(metal_type[description],MATCH(J42,metal_type[metal_type],0)),"")</f>
        <v/>
      </c>
      <c r="J42" s="10"/>
      <c r="K42" s="17"/>
      <c r="L42" s="26"/>
      <c r="M42" s="26" t="str">
        <f>IF(OR(J42="",L42=""),"",ROUND(((L42*VLOOKUP(J42,metal_type[],4,0))/VLOOKUP(J42,metal_type[],6,0)),2))</f>
        <v/>
      </c>
      <c r="N42" s="20" t="str">
        <f>IF(
   OR(J42="", L42=""),
   "",
   IF(
      IFERROR(
         INDEX(
            metal_type[metal_rate_per_gram],
            MATCH(Sheet1!J42, metal_type[metal_type], 0)
         ),
         0
      ) = 0,
      "",
      L42 *
      INDEX(
         metal_type[metal_rate_per_gram],
         MATCH(Sheet1!J42, metal_type[metal_type], 0)
      )
   )
)</f>
        <v/>
      </c>
      <c r="O42" s="20" t="str">
        <f t="shared" si="4"/>
        <v/>
      </c>
      <c r="P42" s="20" t="str">
        <f t="shared" si="5"/>
        <v/>
      </c>
      <c r="Q42" s="20" t="str">
        <f t="shared" si="6"/>
        <v/>
      </c>
      <c r="R42" s="20" t="str">
        <f t="shared" si="7"/>
        <v/>
      </c>
      <c r="S42" s="42"/>
    </row>
    <row r="43" spans="2:19">
      <c r="B43" s="10"/>
      <c r="C43" s="10"/>
      <c r="D43" s="10"/>
      <c r="E43" s="10"/>
      <c r="F43" s="11"/>
      <c r="G43" s="11"/>
      <c r="H43" s="11"/>
      <c r="I43" s="12" t="str">
        <f>IFERROR(INDEX(metal_type[description],MATCH(J43,metal_type[metal_type],0)),"")</f>
        <v/>
      </c>
      <c r="J43" s="10"/>
      <c r="K43" s="17"/>
      <c r="L43" s="26"/>
      <c r="M43" s="26" t="str">
        <f>IF(OR(J43="",L43=""),"",ROUND(((L43*VLOOKUP(J43,metal_type[],4,0))/VLOOKUP(J43,metal_type[],6,0)),2))</f>
        <v/>
      </c>
      <c r="N43" s="20" t="str">
        <f>IF(
   OR(J43="", L43=""),
   "",
   IF(
      IFERROR(
         INDEX(
            metal_type[metal_rate_per_gram],
            MATCH(Sheet1!J43, metal_type[metal_type], 0)
         ),
         0
      ) = 0,
      "",
      L43 *
      INDEX(
         metal_type[metal_rate_per_gram],
         MATCH(Sheet1!J43, metal_type[metal_type], 0)
      )
   )
)</f>
        <v/>
      </c>
      <c r="O43" s="20" t="str">
        <f t="shared" si="4"/>
        <v/>
      </c>
      <c r="P43" s="20" t="str">
        <f t="shared" si="5"/>
        <v/>
      </c>
      <c r="Q43" s="20" t="str">
        <f t="shared" si="6"/>
        <v/>
      </c>
      <c r="R43" s="20" t="str">
        <f t="shared" si="7"/>
        <v/>
      </c>
      <c r="S43" s="42"/>
    </row>
    <row r="44" spans="2:19">
      <c r="B44" s="10"/>
      <c r="C44" s="10"/>
      <c r="D44" s="10"/>
      <c r="E44" s="10"/>
      <c r="F44" s="11"/>
      <c r="G44" s="11"/>
      <c r="H44" s="11"/>
      <c r="I44" s="12" t="str">
        <f>IFERROR(INDEX(metal_type[description],MATCH(J44,metal_type[metal_type],0)),"")</f>
        <v/>
      </c>
      <c r="J44" s="10"/>
      <c r="K44" s="17"/>
      <c r="L44" s="26"/>
      <c r="M44" s="26" t="str">
        <f>IF(OR(J44="",L44=""),"",ROUND(((L44*VLOOKUP(J44,metal_type[],4,0))/VLOOKUP(J44,metal_type[],6,0)),2))</f>
        <v/>
      </c>
      <c r="N44" s="20" t="str">
        <f>IF(
   OR(J44="", L44=""),
   "",
   IF(
      IFERROR(
         INDEX(
            metal_type[metal_rate_per_gram],
            MATCH(Sheet1!J44, metal_type[metal_type], 0)
         ),
         0
      ) = 0,
      "",
      L44 *
      INDEX(
         metal_type[metal_rate_per_gram],
         MATCH(Sheet1!J44, metal_type[metal_type], 0)
      )
   )
)</f>
        <v/>
      </c>
      <c r="O44" s="20" t="str">
        <f t="shared" si="4"/>
        <v/>
      </c>
      <c r="P44" s="20" t="str">
        <f t="shared" si="5"/>
        <v/>
      </c>
      <c r="Q44" s="20" t="str">
        <f t="shared" si="6"/>
        <v/>
      </c>
      <c r="R44" s="20" t="str">
        <f t="shared" si="7"/>
        <v/>
      </c>
      <c r="S44" s="42"/>
    </row>
    <row r="45" spans="2:19">
      <c r="B45" s="10"/>
      <c r="C45" s="10"/>
      <c r="D45" s="10"/>
      <c r="E45" s="10"/>
      <c r="F45" s="11"/>
      <c r="G45" s="11"/>
      <c r="H45" s="11"/>
      <c r="I45" s="12" t="str">
        <f>IFERROR(INDEX(metal_type[description],MATCH(J45,metal_type[metal_type],0)),"")</f>
        <v/>
      </c>
      <c r="J45" s="10"/>
      <c r="K45" s="17"/>
      <c r="L45" s="26"/>
      <c r="M45" s="26" t="str">
        <f>IF(OR(J45="",L45=""),"",ROUND(((L45*VLOOKUP(J45,metal_type[],4,0))/VLOOKUP(J45,metal_type[],6,0)),2))</f>
        <v/>
      </c>
      <c r="N45" s="20" t="str">
        <f>IF(
   OR(J45="", L45=""),
   "",
   IF(
      IFERROR(
         INDEX(
            metal_type[metal_rate_per_gram],
            MATCH(Sheet1!J45, metal_type[metal_type], 0)
         ),
         0
      ) = 0,
      "",
      L45 *
      INDEX(
         metal_type[metal_rate_per_gram],
         MATCH(Sheet1!J45, metal_type[metal_type], 0)
      )
   )
)</f>
        <v/>
      </c>
      <c r="O45" s="20" t="str">
        <f t="shared" si="4"/>
        <v/>
      </c>
      <c r="P45" s="20" t="str">
        <f t="shared" si="5"/>
        <v/>
      </c>
      <c r="Q45" s="20" t="str">
        <f t="shared" si="6"/>
        <v/>
      </c>
      <c r="R45" s="20" t="str">
        <f t="shared" si="7"/>
        <v/>
      </c>
      <c r="S45" s="42"/>
    </row>
    <row r="46" spans="2:19">
      <c r="B46" s="10"/>
      <c r="C46" s="10"/>
      <c r="D46" s="10"/>
      <c r="E46" s="10"/>
      <c r="F46" s="11"/>
      <c r="G46" s="11"/>
      <c r="H46" s="11"/>
      <c r="I46" s="12" t="str">
        <f>IFERROR(INDEX(metal_type[description],MATCH(J46,metal_type[metal_type],0)),"")</f>
        <v/>
      </c>
      <c r="J46" s="10"/>
      <c r="K46" s="17"/>
      <c r="L46" s="26"/>
      <c r="M46" s="26" t="str">
        <f>IF(OR(J46="",L46=""),"",ROUND(((L46*VLOOKUP(J46,metal_type[],4,0))/VLOOKUP(J46,metal_type[],6,0)),2))</f>
        <v/>
      </c>
      <c r="N46" s="20" t="str">
        <f>IF(
   OR(J46="", L46=""),
   "",
   IF(
      IFERROR(
         INDEX(
            metal_type[metal_rate_per_gram],
            MATCH(Sheet1!J46, metal_type[metal_type], 0)
         ),
         0
      ) = 0,
      "",
      L46 *
      INDEX(
         metal_type[metal_rate_per_gram],
         MATCH(Sheet1!J46, metal_type[metal_type], 0)
      )
   )
)</f>
        <v/>
      </c>
      <c r="O46" s="20" t="str">
        <f t="shared" si="4"/>
        <v/>
      </c>
      <c r="P46" s="20" t="str">
        <f t="shared" si="5"/>
        <v/>
      </c>
      <c r="Q46" s="20" t="str">
        <f t="shared" si="6"/>
        <v/>
      </c>
      <c r="R46" s="20" t="str">
        <f t="shared" si="7"/>
        <v/>
      </c>
      <c r="S46" s="42"/>
    </row>
    <row r="47" spans="2:19">
      <c r="B47" s="10"/>
      <c r="C47" s="10"/>
      <c r="D47" s="10"/>
      <c r="E47" s="10"/>
      <c r="F47" s="11"/>
      <c r="G47" s="11"/>
      <c r="H47" s="11"/>
      <c r="I47" s="12" t="str">
        <f>IFERROR(INDEX(metal_type[description],MATCH(J47,metal_type[metal_type],0)),"")</f>
        <v/>
      </c>
      <c r="J47" s="10"/>
      <c r="K47" s="17"/>
      <c r="L47" s="26"/>
      <c r="M47" s="26" t="str">
        <f>IF(OR(J47="",L47=""),"",ROUND(((L47*VLOOKUP(J47,metal_type[],4,0))/VLOOKUP(J47,metal_type[],6,0)),2))</f>
        <v/>
      </c>
      <c r="N47" s="20" t="str">
        <f>IF(
   OR(J47="", L47=""),
   "",
   IF(
      IFERROR(
         INDEX(
            metal_type[metal_rate_per_gram],
            MATCH(Sheet1!J47, metal_type[metal_type], 0)
         ),
         0
      ) = 0,
      "",
      L47 *
      INDEX(
         metal_type[metal_rate_per_gram],
         MATCH(Sheet1!J47, metal_type[metal_type], 0)
      )
   )
)</f>
        <v/>
      </c>
      <c r="O47" s="20" t="str">
        <f t="shared" si="4"/>
        <v/>
      </c>
      <c r="P47" s="20" t="str">
        <f t="shared" si="5"/>
        <v/>
      </c>
      <c r="Q47" s="20" t="str">
        <f t="shared" si="6"/>
        <v/>
      </c>
      <c r="R47" s="20" t="str">
        <f t="shared" si="7"/>
        <v/>
      </c>
      <c r="S47" s="42"/>
    </row>
    <row r="48" spans="2:19">
      <c r="B48" s="10"/>
      <c r="C48" s="10"/>
      <c r="D48" s="10"/>
      <c r="E48" s="10"/>
      <c r="F48" s="11"/>
      <c r="G48" s="11"/>
      <c r="H48" s="11"/>
      <c r="I48" s="12" t="str">
        <f>IFERROR(INDEX(metal_type[description],MATCH(J48,metal_type[metal_type],0)),"")</f>
        <v/>
      </c>
      <c r="J48" s="10"/>
      <c r="K48" s="17"/>
      <c r="L48" s="26"/>
      <c r="M48" s="26" t="str">
        <f>IF(OR(J48="",L48=""),"",ROUND(((L48*VLOOKUP(J48,metal_type[],4,0))/VLOOKUP(J48,metal_type[],6,0)),2))</f>
        <v/>
      </c>
      <c r="N48" s="20" t="str">
        <f>IF(
   OR(J48="", L48=""),
   "",
   IF(
      IFERROR(
         INDEX(
            metal_type[metal_rate_per_gram],
            MATCH(Sheet1!J48, metal_type[metal_type], 0)
         ),
         0
      ) = 0,
      "",
      L48 *
      INDEX(
         metal_type[metal_rate_per_gram],
         MATCH(Sheet1!J48, metal_type[metal_type], 0)
      )
   )
)</f>
        <v/>
      </c>
      <c r="O48" s="20" t="str">
        <f t="shared" si="4"/>
        <v/>
      </c>
      <c r="P48" s="20" t="str">
        <f t="shared" si="5"/>
        <v/>
      </c>
      <c r="Q48" s="20" t="str">
        <f t="shared" si="6"/>
        <v/>
      </c>
      <c r="R48" s="20" t="str">
        <f t="shared" si="7"/>
        <v/>
      </c>
      <c r="S48" s="42"/>
    </row>
    <row r="49" spans="2:19">
      <c r="B49" s="10"/>
      <c r="C49" s="10"/>
      <c r="D49" s="10"/>
      <c r="E49" s="10"/>
      <c r="F49" s="11"/>
      <c r="G49" s="11"/>
      <c r="H49" s="11"/>
      <c r="I49" s="12" t="str">
        <f>IFERROR(INDEX(metal_type[description],MATCH(J49,metal_type[metal_type],0)),"")</f>
        <v/>
      </c>
      <c r="J49" s="10"/>
      <c r="K49" s="17"/>
      <c r="L49" s="26"/>
      <c r="M49" s="26" t="str">
        <f>IF(OR(J49="",L49=""),"",ROUND(((L49*VLOOKUP(J49,metal_type[],4,0))/VLOOKUP(J49,metal_type[],6,0)),2))</f>
        <v/>
      </c>
      <c r="N49" s="20" t="str">
        <f>IF(
   OR(J49="", L49=""),
   "",
   IF(
      IFERROR(
         INDEX(
            metal_type[metal_rate_per_gram],
            MATCH(Sheet1!J49, metal_type[metal_type], 0)
         ),
         0
      ) = 0,
      "",
      L49 *
      INDEX(
         metal_type[metal_rate_per_gram],
         MATCH(Sheet1!J49, metal_type[metal_type], 0)
      )
   )
)</f>
        <v/>
      </c>
      <c r="O49" s="20" t="str">
        <f t="shared" si="4"/>
        <v/>
      </c>
      <c r="P49" s="20" t="str">
        <f t="shared" si="5"/>
        <v/>
      </c>
      <c r="Q49" s="20" t="str">
        <f t="shared" si="6"/>
        <v/>
      </c>
      <c r="R49" s="20" t="str">
        <f t="shared" si="7"/>
        <v/>
      </c>
      <c r="S49" s="42"/>
    </row>
    <row r="50" spans="2:19">
      <c r="B50" s="10"/>
      <c r="C50" s="10"/>
      <c r="D50" s="10"/>
      <c r="E50" s="10"/>
      <c r="F50" s="11"/>
      <c r="G50" s="11"/>
      <c r="H50" s="11"/>
      <c r="I50" s="12" t="str">
        <f>IFERROR(INDEX(metal_type[description],MATCH(J50,metal_type[metal_type],0)),"")</f>
        <v/>
      </c>
      <c r="J50" s="10"/>
      <c r="K50" s="17"/>
      <c r="L50" s="26"/>
      <c r="M50" s="26" t="str">
        <f>IF(OR(J50="",L50=""),"",ROUND(((L50*VLOOKUP(J50,metal_type[],4,0))/VLOOKUP(J50,metal_type[],6,0)),2))</f>
        <v/>
      </c>
      <c r="N50" s="20" t="str">
        <f>IF(
   OR(J50="", L50=""),
   "",
   IF(
      IFERROR(
         INDEX(
            metal_type[metal_rate_per_gram],
            MATCH(Sheet1!J50, metal_type[metal_type], 0)
         ),
         0
      ) = 0,
      "",
      L50 *
      INDEX(
         metal_type[metal_rate_per_gram],
         MATCH(Sheet1!J50, metal_type[metal_type], 0)
      )
   )
)</f>
        <v/>
      </c>
      <c r="O50" s="20" t="str">
        <f t="shared" si="4"/>
        <v/>
      </c>
      <c r="P50" s="20" t="str">
        <f t="shared" si="5"/>
        <v/>
      </c>
      <c r="Q50" s="20" t="str">
        <f t="shared" si="6"/>
        <v/>
      </c>
      <c r="R50" s="20" t="str">
        <f t="shared" si="7"/>
        <v/>
      </c>
      <c r="S50" s="42"/>
    </row>
    <row r="51" spans="2:19">
      <c r="B51" s="10"/>
      <c r="C51" s="10"/>
      <c r="D51" s="10"/>
      <c r="E51" s="10"/>
      <c r="F51" s="11"/>
      <c r="G51" s="11"/>
      <c r="H51" s="11"/>
      <c r="I51" s="12" t="str">
        <f>IFERROR(INDEX(metal_type[description],MATCH(J51,metal_type[metal_type],0)),"")</f>
        <v/>
      </c>
      <c r="J51" s="10"/>
      <c r="K51" s="17"/>
      <c r="L51" s="26"/>
      <c r="M51" s="26" t="str">
        <f>IF(OR(J51="",L51=""),"",ROUND(((L51*VLOOKUP(J51,metal_type[],4,0))/VLOOKUP(J51,metal_type[],6,0)),2))</f>
        <v/>
      </c>
      <c r="N51" s="20" t="str">
        <f>IF(
   OR(J51="", L51=""),
   "",
   IF(
      IFERROR(
         INDEX(
            metal_type[metal_rate_per_gram],
            MATCH(Sheet1!J51, metal_type[metal_type], 0)
         ),
         0
      ) = 0,
      "",
      L51 *
      INDEX(
         metal_type[metal_rate_per_gram],
         MATCH(Sheet1!J51, metal_type[metal_type], 0)
      )
   )
)</f>
        <v/>
      </c>
      <c r="O51" s="20" t="str">
        <f t="shared" si="4"/>
        <v/>
      </c>
      <c r="P51" s="20" t="str">
        <f t="shared" si="5"/>
        <v/>
      </c>
      <c r="Q51" s="20" t="str">
        <f t="shared" si="6"/>
        <v/>
      </c>
      <c r="R51" s="20" t="str">
        <f t="shared" si="7"/>
        <v/>
      </c>
      <c r="S51" s="42"/>
    </row>
    <row r="52" spans="2:19">
      <c r="B52" s="10"/>
      <c r="C52" s="10"/>
      <c r="D52" s="10"/>
      <c r="E52" s="10"/>
      <c r="F52" s="11"/>
      <c r="G52" s="11"/>
      <c r="H52" s="11"/>
      <c r="I52" s="12" t="str">
        <f>IFERROR(INDEX(metal_type[description],MATCH(J52,metal_type[metal_type],0)),"")</f>
        <v/>
      </c>
      <c r="J52" s="10"/>
      <c r="K52" s="17"/>
      <c r="L52" s="26"/>
      <c r="M52" s="26" t="str">
        <f>IF(OR(J52="",L52=""),"",ROUND(((L52*VLOOKUP(J52,metal_type[],4,0))/VLOOKUP(J52,metal_type[],6,0)),2))</f>
        <v/>
      </c>
      <c r="N52" s="20" t="str">
        <f>IF(
   OR(J52="", L52=""),
   "",
   IF(
      IFERROR(
         INDEX(
            metal_type[metal_rate_per_gram],
            MATCH(Sheet1!J52, metal_type[metal_type], 0)
         ),
         0
      ) = 0,
      "",
      L52 *
      INDEX(
         metal_type[metal_rate_per_gram],
         MATCH(Sheet1!J52, metal_type[metal_type], 0)
      )
   )
)</f>
        <v/>
      </c>
      <c r="O52" s="20" t="str">
        <f t="shared" si="4"/>
        <v/>
      </c>
      <c r="P52" s="20" t="str">
        <f t="shared" si="5"/>
        <v/>
      </c>
      <c r="Q52" s="20" t="str">
        <f t="shared" si="6"/>
        <v/>
      </c>
      <c r="R52" s="20" t="str">
        <f t="shared" si="7"/>
        <v/>
      </c>
      <c r="S52" s="42"/>
    </row>
    <row r="53" spans="2:19">
      <c r="B53" s="10"/>
      <c r="C53" s="10"/>
      <c r="D53" s="10"/>
      <c r="E53" s="10"/>
      <c r="F53" s="11"/>
      <c r="G53" s="11"/>
      <c r="H53" s="11"/>
      <c r="I53" s="12" t="str">
        <f>IFERROR(INDEX(metal_type[description],MATCH(J53,metal_type[metal_type],0)),"")</f>
        <v/>
      </c>
      <c r="J53" s="10"/>
      <c r="K53" s="17"/>
      <c r="L53" s="26"/>
      <c r="M53" s="26" t="str">
        <f>IF(OR(J53="",L53=""),"",ROUND(((L53*VLOOKUP(J53,metal_type[],4,0))/VLOOKUP(J53,metal_type[],6,0)),2))</f>
        <v/>
      </c>
      <c r="N53" s="20" t="str">
        <f>IF(
   OR(J53="", L53=""),
   "",
   IF(
      IFERROR(
         INDEX(
            metal_type[metal_rate_per_gram],
            MATCH(Sheet1!J53, metal_type[metal_type], 0)
         ),
         0
      ) = 0,
      "",
      L53 *
      INDEX(
         metal_type[metal_rate_per_gram],
         MATCH(Sheet1!J53, metal_type[metal_type], 0)
      )
   )
)</f>
        <v/>
      </c>
      <c r="O53" s="20" t="str">
        <f t="shared" si="4"/>
        <v/>
      </c>
      <c r="P53" s="20" t="str">
        <f t="shared" si="5"/>
        <v/>
      </c>
      <c r="Q53" s="20" t="str">
        <f t="shared" si="6"/>
        <v/>
      </c>
      <c r="R53" s="20" t="str">
        <f t="shared" si="7"/>
        <v/>
      </c>
      <c r="S53" s="42"/>
    </row>
    <row r="54" spans="2:19">
      <c r="B54" s="10"/>
      <c r="C54" s="10"/>
      <c r="D54" s="10"/>
      <c r="E54" s="10"/>
      <c r="F54" s="11"/>
      <c r="G54" s="11"/>
      <c r="H54" s="11"/>
      <c r="I54" s="12" t="str">
        <f>IFERROR(INDEX(metal_type[description],MATCH(J54,metal_type[metal_type],0)),"")</f>
        <v/>
      </c>
      <c r="J54" s="10"/>
      <c r="K54" s="17"/>
      <c r="L54" s="26"/>
      <c r="M54" s="26" t="str">
        <f>IF(OR(J54="",L54=""),"",ROUND(((L54*VLOOKUP(J54,metal_type[],4,0))/VLOOKUP(J54,metal_type[],6,0)),2))</f>
        <v/>
      </c>
      <c r="N54" s="20" t="str">
        <f>IF(
   OR(J54="", L54=""),
   "",
   IF(
      IFERROR(
         INDEX(
            metal_type[metal_rate_per_gram],
            MATCH(Sheet1!J54, metal_type[metal_type], 0)
         ),
         0
      ) = 0,
      "",
      L54 *
      INDEX(
         metal_type[metal_rate_per_gram],
         MATCH(Sheet1!J54, metal_type[metal_type], 0)
      )
   )
)</f>
        <v/>
      </c>
      <c r="O54" s="20" t="str">
        <f t="shared" si="4"/>
        <v/>
      </c>
      <c r="P54" s="20" t="str">
        <f t="shared" si="5"/>
        <v/>
      </c>
      <c r="Q54" s="20" t="str">
        <f t="shared" si="6"/>
        <v/>
      </c>
      <c r="R54" s="20" t="str">
        <f t="shared" si="7"/>
        <v/>
      </c>
      <c r="S54" s="42"/>
    </row>
    <row r="55" spans="2:19">
      <c r="B55" s="10"/>
      <c r="C55" s="10"/>
      <c r="D55" s="10"/>
      <c r="E55" s="10"/>
      <c r="F55" s="11"/>
      <c r="G55" s="11"/>
      <c r="H55" s="11"/>
      <c r="I55" s="12" t="str">
        <f>IFERROR(INDEX(metal_type[description],MATCH(J55,metal_type[metal_type],0)),"")</f>
        <v/>
      </c>
      <c r="J55" s="10"/>
      <c r="K55" s="17"/>
      <c r="L55" s="26"/>
      <c r="M55" s="26" t="str">
        <f>IF(OR(J55="",L55=""),"",ROUND(((L55*VLOOKUP(J55,metal_type[],4,0))/VLOOKUP(J55,metal_type[],6,0)),2))</f>
        <v/>
      </c>
      <c r="N55" s="20" t="str">
        <f>IF(
   OR(J55="", L55=""),
   "",
   IF(
      IFERROR(
         INDEX(
            metal_type[metal_rate_per_gram],
            MATCH(Sheet1!J55, metal_type[metal_type], 0)
         ),
         0
      ) = 0,
      "",
      L55 *
      INDEX(
         metal_type[metal_rate_per_gram],
         MATCH(Sheet1!J55, metal_type[metal_type], 0)
      )
   )
)</f>
        <v/>
      </c>
      <c r="O55" s="20" t="str">
        <f t="shared" si="4"/>
        <v/>
      </c>
      <c r="P55" s="20" t="str">
        <f t="shared" si="5"/>
        <v/>
      </c>
      <c r="Q55" s="20" t="str">
        <f t="shared" si="6"/>
        <v/>
      </c>
      <c r="R55" s="20" t="str">
        <f t="shared" si="7"/>
        <v/>
      </c>
      <c r="S55" s="42"/>
    </row>
    <row r="56" spans="2:19">
      <c r="B56" s="10"/>
      <c r="C56" s="10"/>
      <c r="D56" s="10"/>
      <c r="E56" s="10"/>
      <c r="F56" s="11"/>
      <c r="G56" s="11"/>
      <c r="H56" s="11"/>
      <c r="I56" s="12" t="str">
        <f>IFERROR(INDEX(metal_type[description],MATCH(J56,metal_type[metal_type],0)),"")</f>
        <v/>
      </c>
      <c r="J56" s="10"/>
      <c r="K56" s="17"/>
      <c r="L56" s="26"/>
      <c r="M56" s="26" t="str">
        <f>IF(OR(J56="",L56=""),"",ROUND(((L56*VLOOKUP(J56,metal_type[],4,0))/VLOOKUP(J56,metal_type[],6,0)),2))</f>
        <v/>
      </c>
      <c r="N56" s="20" t="str">
        <f>IF(
   OR(J56="", L56=""),
   "",
   IF(
      IFERROR(
         INDEX(
            metal_type[metal_rate_per_gram],
            MATCH(Sheet1!J56, metal_type[metal_type], 0)
         ),
         0
      ) = 0,
      "",
      L56 *
      INDEX(
         metal_type[metal_rate_per_gram],
         MATCH(Sheet1!J56, metal_type[metal_type], 0)
      )
   )
)</f>
        <v/>
      </c>
      <c r="O56" s="20" t="str">
        <f t="shared" si="4"/>
        <v/>
      </c>
      <c r="P56" s="20" t="str">
        <f t="shared" si="5"/>
        <v/>
      </c>
      <c r="Q56" s="20" t="str">
        <f t="shared" si="6"/>
        <v/>
      </c>
      <c r="R56" s="20" t="str">
        <f t="shared" si="7"/>
        <v/>
      </c>
      <c r="S56" s="42"/>
    </row>
    <row r="57" spans="2:19">
      <c r="B57" s="10"/>
      <c r="C57" s="10"/>
      <c r="D57" s="10"/>
      <c r="E57" s="10"/>
      <c r="F57" s="11"/>
      <c r="G57" s="11"/>
      <c r="H57" s="11"/>
      <c r="I57" s="12" t="str">
        <f>IFERROR(INDEX(metal_type[description],MATCH(J57,metal_type[metal_type],0)),"")</f>
        <v/>
      </c>
      <c r="J57" s="10"/>
      <c r="K57" s="17"/>
      <c r="L57" s="26"/>
      <c r="M57" s="26" t="str">
        <f>IF(OR(J57="",L57=""),"",ROUND(((L57*VLOOKUP(J57,metal_type[],4,0))/VLOOKUP(J57,metal_type[],6,0)),2))</f>
        <v/>
      </c>
      <c r="N57" s="20" t="str">
        <f>IF(
   OR(J57="", L57=""),
   "",
   IF(
      IFERROR(
         INDEX(
            metal_type[metal_rate_per_gram],
            MATCH(Sheet1!J57, metal_type[metal_type], 0)
         ),
         0
      ) = 0,
      "",
      L57 *
      INDEX(
         metal_type[metal_rate_per_gram],
         MATCH(Sheet1!J57, metal_type[metal_type], 0)
      )
   )
)</f>
        <v/>
      </c>
      <c r="O57" s="20" t="str">
        <f t="shared" si="4"/>
        <v/>
      </c>
      <c r="P57" s="20" t="str">
        <f t="shared" si="5"/>
        <v/>
      </c>
      <c r="Q57" s="20" t="str">
        <f t="shared" si="6"/>
        <v/>
      </c>
      <c r="R57" s="20" t="str">
        <f t="shared" si="7"/>
        <v/>
      </c>
      <c r="S57" s="42"/>
    </row>
    <row r="58" spans="2:19">
      <c r="B58" s="10"/>
      <c r="C58" s="10"/>
      <c r="D58" s="10"/>
      <c r="E58" s="10"/>
      <c r="F58" s="11"/>
      <c r="G58" s="11"/>
      <c r="H58" s="11"/>
      <c r="I58" s="12" t="str">
        <f>IFERROR(INDEX(metal_type[description],MATCH(J58,metal_type[metal_type],0)),"")</f>
        <v/>
      </c>
      <c r="J58" s="10"/>
      <c r="K58" s="17"/>
      <c r="L58" s="26"/>
      <c r="M58" s="26" t="str">
        <f>IF(OR(J58="",L58=""),"",ROUND(((L58*VLOOKUP(J58,metal_type[],4,0))/VLOOKUP(J58,metal_type[],6,0)),2))</f>
        <v/>
      </c>
      <c r="N58" s="20" t="str">
        <f>IF(
   OR(J58="", L58=""),
   "",
   IF(
      IFERROR(
         INDEX(
            metal_type[metal_rate_per_gram],
            MATCH(Sheet1!J58, metal_type[metal_type], 0)
         ),
         0
      ) = 0,
      "",
      L58 *
      INDEX(
         metal_type[metal_rate_per_gram],
         MATCH(Sheet1!J58, metal_type[metal_type], 0)
      )
   )
)</f>
        <v/>
      </c>
      <c r="O58" s="20" t="str">
        <f t="shared" si="4"/>
        <v/>
      </c>
      <c r="P58" s="20" t="str">
        <f t="shared" si="5"/>
        <v/>
      </c>
      <c r="Q58" s="20" t="str">
        <f t="shared" si="6"/>
        <v/>
      </c>
      <c r="R58" s="20" t="str">
        <f t="shared" si="7"/>
        <v/>
      </c>
      <c r="S58" s="42"/>
    </row>
    <row r="59" spans="2:19">
      <c r="B59" s="10"/>
      <c r="C59" s="10"/>
      <c r="D59" s="10"/>
      <c r="E59" s="10"/>
      <c r="F59" s="11"/>
      <c r="G59" s="11"/>
      <c r="H59" s="11"/>
      <c r="I59" s="12" t="str">
        <f>IFERROR(INDEX(metal_type[description],MATCH(J59,metal_type[metal_type],0)),"")</f>
        <v/>
      </c>
      <c r="J59" s="10"/>
      <c r="K59" s="17"/>
      <c r="L59" s="26"/>
      <c r="M59" s="26" t="str">
        <f>IF(OR(J59="",L59=""),"",ROUND(((L59*VLOOKUP(J59,metal_type[],4,0))/VLOOKUP(J59,metal_type[],6,0)),2))</f>
        <v/>
      </c>
      <c r="N59" s="20" t="str">
        <f>IF(
   OR(J59="", L59=""),
   "",
   IF(
      IFERROR(
         INDEX(
            metal_type[metal_rate_per_gram],
            MATCH(Sheet1!J59, metal_type[metal_type], 0)
         ),
         0
      ) = 0,
      "",
      L59 *
      INDEX(
         metal_type[metal_rate_per_gram],
         MATCH(Sheet1!J59, metal_type[metal_type], 0)
      )
   )
)</f>
        <v/>
      </c>
      <c r="O59" s="20" t="str">
        <f t="shared" si="4"/>
        <v/>
      </c>
      <c r="P59" s="20" t="str">
        <f t="shared" si="5"/>
        <v/>
      </c>
      <c r="Q59" s="20" t="str">
        <f t="shared" si="6"/>
        <v/>
      </c>
      <c r="R59" s="20" t="str">
        <f t="shared" si="7"/>
        <v/>
      </c>
      <c r="S59" s="42"/>
    </row>
    <row r="60" spans="2:19">
      <c r="B60" s="10"/>
      <c r="C60" s="10"/>
      <c r="D60" s="10"/>
      <c r="E60" s="10"/>
      <c r="F60" s="11"/>
      <c r="G60" s="11"/>
      <c r="H60" s="11"/>
      <c r="I60" s="12" t="str">
        <f>IFERROR(INDEX(metal_type[description],MATCH(J60,metal_type[metal_type],0)),"")</f>
        <v/>
      </c>
      <c r="J60" s="10"/>
      <c r="K60" s="17"/>
      <c r="L60" s="26"/>
      <c r="M60" s="26" t="str">
        <f>IF(OR(J60="",L60=""),"",ROUND(((L60*VLOOKUP(J60,metal_type[],4,0))/VLOOKUP(J60,metal_type[],6,0)),2))</f>
        <v/>
      </c>
      <c r="N60" s="20" t="str">
        <f>IF(
   OR(J60="", L60=""),
   "",
   IF(
      IFERROR(
         INDEX(
            metal_type[metal_rate_per_gram],
            MATCH(Sheet1!J60, metal_type[metal_type], 0)
         ),
         0
      ) = 0,
      "",
      L60 *
      INDEX(
         metal_type[metal_rate_per_gram],
         MATCH(Sheet1!J60, metal_type[metal_type], 0)
      )
   )
)</f>
        <v/>
      </c>
      <c r="O60" s="20" t="str">
        <f t="shared" si="4"/>
        <v/>
      </c>
      <c r="P60" s="20" t="str">
        <f t="shared" si="5"/>
        <v/>
      </c>
      <c r="Q60" s="20" t="str">
        <f t="shared" si="6"/>
        <v/>
      </c>
      <c r="R60" s="20" t="str">
        <f t="shared" si="7"/>
        <v/>
      </c>
      <c r="S60" s="42"/>
    </row>
    <row r="61" spans="2:19">
      <c r="B61" s="10"/>
      <c r="C61" s="10"/>
      <c r="D61" s="10"/>
      <c r="E61" s="10"/>
      <c r="F61" s="11"/>
      <c r="G61" s="11"/>
      <c r="H61" s="11"/>
      <c r="I61" s="12" t="str">
        <f>IFERROR(INDEX(metal_type[description],MATCH(J61,metal_type[metal_type],0)),"")</f>
        <v/>
      </c>
      <c r="J61" s="10"/>
      <c r="K61" s="17"/>
      <c r="L61" s="26"/>
      <c r="M61" s="26" t="str">
        <f>IF(OR(J61="",L61=""),"",ROUND(((L61*VLOOKUP(J61,metal_type[],4,0))/VLOOKUP(J61,metal_type[],6,0)),2))</f>
        <v/>
      </c>
      <c r="N61" s="20" t="str">
        <f>IF(
   OR(J61="", L61=""),
   "",
   IF(
      IFERROR(
         INDEX(
            metal_type[metal_rate_per_gram],
            MATCH(Sheet1!J61, metal_type[metal_type], 0)
         ),
         0
      ) = 0,
      "",
      L61 *
      INDEX(
         metal_type[metal_rate_per_gram],
         MATCH(Sheet1!J61, metal_type[metal_type], 0)
      )
   )
)</f>
        <v/>
      </c>
      <c r="O61" s="20" t="str">
        <f t="shared" si="4"/>
        <v/>
      </c>
      <c r="P61" s="20" t="str">
        <f t="shared" si="5"/>
        <v/>
      </c>
      <c r="Q61" s="20" t="str">
        <f t="shared" si="6"/>
        <v/>
      </c>
      <c r="R61" s="20" t="str">
        <f t="shared" si="7"/>
        <v/>
      </c>
      <c r="S61" s="42"/>
    </row>
    <row r="62" spans="2:19">
      <c r="B62" s="10"/>
      <c r="C62" s="10"/>
      <c r="D62" s="10"/>
      <c r="E62" s="10"/>
      <c r="F62" s="11"/>
      <c r="G62" s="11"/>
      <c r="H62" s="11"/>
      <c r="I62" s="12" t="str">
        <f>IFERROR(INDEX(metal_type[description],MATCH(J62,metal_type[metal_type],0)),"")</f>
        <v/>
      </c>
      <c r="J62" s="10"/>
      <c r="K62" s="17"/>
      <c r="L62" s="26"/>
      <c r="M62" s="26" t="str">
        <f>IF(OR(J62="",L62=""),"",ROUND(((L62*VLOOKUP(J62,metal_type[],4,0))/VLOOKUP(J62,metal_type[],6,0)),2))</f>
        <v/>
      </c>
      <c r="N62" s="20" t="str">
        <f>IF(
   OR(J62="", L62=""),
   "",
   IF(
      IFERROR(
         INDEX(
            metal_type[metal_rate_per_gram],
            MATCH(Sheet1!J62, metal_type[metal_type], 0)
         ),
         0
      ) = 0,
      "",
      L62 *
      INDEX(
         metal_type[metal_rate_per_gram],
         MATCH(Sheet1!J62, metal_type[metal_type], 0)
      )
   )
)</f>
        <v/>
      </c>
      <c r="O62" s="20" t="str">
        <f t="shared" si="4"/>
        <v/>
      </c>
      <c r="P62" s="20" t="str">
        <f t="shared" si="5"/>
        <v/>
      </c>
      <c r="Q62" s="20" t="str">
        <f t="shared" si="6"/>
        <v/>
      </c>
      <c r="R62" s="20" t="str">
        <f t="shared" si="7"/>
        <v/>
      </c>
      <c r="S62" s="42"/>
    </row>
    <row r="63" spans="2:19">
      <c r="B63" s="10"/>
      <c r="C63" s="10"/>
      <c r="D63" s="10"/>
      <c r="E63" s="10"/>
      <c r="F63" s="11"/>
      <c r="G63" s="11"/>
      <c r="H63" s="11"/>
      <c r="I63" s="12" t="str">
        <f>IFERROR(INDEX(metal_type[description],MATCH(J63,metal_type[metal_type],0)),"")</f>
        <v/>
      </c>
      <c r="J63" s="10"/>
      <c r="K63" s="17"/>
      <c r="L63" s="26"/>
      <c r="M63" s="26" t="str">
        <f>IF(OR(J63="",L63=""),"",ROUND(((L63*VLOOKUP(J63,metal_type[],4,0))/VLOOKUP(J63,metal_type[],6,0)),2))</f>
        <v/>
      </c>
      <c r="N63" s="20" t="str">
        <f>IF(
   OR(J63="", L63=""),
   "",
   IF(
      IFERROR(
         INDEX(
            metal_type[metal_rate_per_gram],
            MATCH(Sheet1!J63, metal_type[metal_type], 0)
         ),
         0
      ) = 0,
      "",
      L63 *
      INDEX(
         metal_type[metal_rate_per_gram],
         MATCH(Sheet1!J63, metal_type[metal_type], 0)
      )
   )
)</f>
        <v/>
      </c>
      <c r="O63" s="20" t="str">
        <f t="shared" si="4"/>
        <v/>
      </c>
      <c r="P63" s="20" t="str">
        <f t="shared" si="5"/>
        <v/>
      </c>
      <c r="Q63" s="20" t="str">
        <f t="shared" si="6"/>
        <v/>
      </c>
      <c r="R63" s="20" t="str">
        <f t="shared" si="7"/>
        <v/>
      </c>
      <c r="S63" s="42"/>
    </row>
    <row r="64" spans="2:19">
      <c r="B64" s="10"/>
      <c r="C64" s="10"/>
      <c r="D64" s="10"/>
      <c r="E64" s="10"/>
      <c r="F64" s="11"/>
      <c r="G64" s="11"/>
      <c r="H64" s="11"/>
      <c r="I64" s="12" t="str">
        <f>IFERROR(INDEX(metal_type[description],MATCH(J64,metal_type[metal_type],0)),"")</f>
        <v/>
      </c>
      <c r="J64" s="10"/>
      <c r="K64" s="17"/>
      <c r="L64" s="26"/>
      <c r="M64" s="26" t="str">
        <f>IF(OR(J64="",L64=""),"",ROUND(((L64*VLOOKUP(J64,metal_type[],4,0))/VLOOKUP(J64,metal_type[],6,0)),2))</f>
        <v/>
      </c>
      <c r="N64" s="20" t="str">
        <f>IF(
   OR(J64="", L64=""),
   "",
   IF(
      IFERROR(
         INDEX(
            metal_type[metal_rate_per_gram],
            MATCH(Sheet1!J64, metal_type[metal_type], 0)
         ),
         0
      ) = 0,
      "",
      L64 *
      INDEX(
         metal_type[metal_rate_per_gram],
         MATCH(Sheet1!J64, metal_type[metal_type], 0)
      )
   )
)</f>
        <v/>
      </c>
      <c r="O64" s="20" t="str">
        <f t="shared" si="4"/>
        <v/>
      </c>
      <c r="P64" s="20" t="str">
        <f t="shared" si="5"/>
        <v/>
      </c>
      <c r="Q64" s="20" t="str">
        <f t="shared" si="6"/>
        <v/>
      </c>
      <c r="R64" s="20" t="str">
        <f t="shared" si="7"/>
        <v/>
      </c>
      <c r="S64" s="42"/>
    </row>
    <row r="65" spans="1:19">
      <c r="B65" s="10"/>
      <c r="C65" s="10"/>
      <c r="D65" s="10"/>
      <c r="E65" s="10"/>
      <c r="F65" s="11"/>
      <c r="G65" s="11"/>
      <c r="H65" s="11"/>
      <c r="I65" s="12" t="str">
        <f>IFERROR(INDEX(metal_type[description],MATCH(J65,metal_type[metal_type],0)),"")</f>
        <v/>
      </c>
      <c r="J65" s="10"/>
      <c r="K65" s="17"/>
      <c r="L65" s="26"/>
      <c r="M65" s="26" t="str">
        <f>IF(OR(J65="",L65=""),"",ROUND(((L65*VLOOKUP(J65,metal_type[],4,0))/VLOOKUP(J65,metal_type[],6,0)),2))</f>
        <v/>
      </c>
      <c r="N65" s="20" t="str">
        <f>IF(
   OR(J65="", L65=""),
   "",
   IF(
      IFERROR(
         INDEX(
            metal_type[metal_rate_per_gram],
            MATCH(Sheet1!J65, metal_type[metal_type], 0)
         ),
         0
      ) = 0,
      "",
      L65 *
      INDEX(
         metal_type[metal_rate_per_gram],
         MATCH(Sheet1!J65, metal_type[metal_type], 0)
      )
   )
)</f>
        <v/>
      </c>
      <c r="O65" s="20" t="str">
        <f t="shared" si="4"/>
        <v/>
      </c>
      <c r="P65" s="20" t="str">
        <f t="shared" si="5"/>
        <v/>
      </c>
      <c r="Q65" s="20" t="str">
        <f t="shared" si="6"/>
        <v/>
      </c>
      <c r="R65" s="20" t="str">
        <f t="shared" si="7"/>
        <v/>
      </c>
      <c r="S65" s="42"/>
    </row>
    <row r="66" spans="1:19">
      <c r="B66" s="10"/>
      <c r="C66" s="10"/>
      <c r="D66" s="10"/>
      <c r="E66" s="10"/>
      <c r="F66" s="11"/>
      <c r="G66" s="11"/>
      <c r="H66" s="11"/>
      <c r="I66" s="12" t="str">
        <f>IFERROR(INDEX(metal_type[description],MATCH(J66,metal_type[metal_type],0)),"")</f>
        <v/>
      </c>
      <c r="J66" s="10"/>
      <c r="K66" s="17"/>
      <c r="L66" s="26"/>
      <c r="M66" s="26" t="str">
        <f>IF(OR(J66="",L66=""),"",ROUND(((L66*VLOOKUP(J66,metal_type[],4,0))/VLOOKUP(J66,metal_type[],6,0)),2))</f>
        <v/>
      </c>
      <c r="N66" s="20" t="str">
        <f>IF(
   OR(J66="", L66=""),
   "",
   IF(
      IFERROR(
         INDEX(
            metal_type[metal_rate_per_gram],
            MATCH(Sheet1!J66, metal_type[metal_type], 0)
         ),
         0
      ) = 0,
      "",
      L66 *
      INDEX(
         metal_type[metal_rate_per_gram],
         MATCH(Sheet1!J66, metal_type[metal_type], 0)
      )
   )
)</f>
        <v/>
      </c>
      <c r="O66" s="20" t="str">
        <f t="shared" si="4"/>
        <v/>
      </c>
      <c r="P66" s="20" t="str">
        <f t="shared" si="5"/>
        <v/>
      </c>
      <c r="Q66" s="20" t="str">
        <f t="shared" si="6"/>
        <v/>
      </c>
      <c r="R66" s="20" t="str">
        <f t="shared" si="7"/>
        <v/>
      </c>
      <c r="S66" s="42"/>
    </row>
    <row r="67" spans="1:19">
      <c r="B67" s="10"/>
      <c r="C67" s="10"/>
      <c r="D67" s="10"/>
      <c r="E67" s="10"/>
      <c r="F67" s="11"/>
      <c r="G67" s="11"/>
      <c r="H67" s="11"/>
      <c r="I67" s="12" t="str">
        <f>IFERROR(INDEX(metal_type[description],MATCH(J67,metal_type[metal_type],0)),"")</f>
        <v/>
      </c>
      <c r="J67" s="10"/>
      <c r="K67" s="17"/>
      <c r="L67" s="26"/>
      <c r="M67" s="26" t="str">
        <f>IF(OR(J67="",L67=""),"",ROUND(((L67*VLOOKUP(J67,metal_type[],4,0))/VLOOKUP(J67,metal_type[],6,0)),2))</f>
        <v/>
      </c>
      <c r="N67" s="20" t="str">
        <f>IF(
   OR(J67="", L67=""),
   "",
   IF(
      IFERROR(
         INDEX(
            metal_type[metal_rate_per_gram],
            MATCH(Sheet1!J67, metal_type[metal_type], 0)
         ),
         0
      ) = 0,
      "",
      L67 *
      INDEX(
         metal_type[metal_rate_per_gram],
         MATCH(Sheet1!J67, metal_type[metal_type], 0)
      )
   )
)</f>
        <v/>
      </c>
      <c r="O67" s="20" t="str">
        <f t="shared" si="4"/>
        <v/>
      </c>
      <c r="P67" s="20" t="str">
        <f t="shared" si="5"/>
        <v/>
      </c>
      <c r="Q67" s="20" t="str">
        <f t="shared" si="6"/>
        <v/>
      </c>
      <c r="R67" s="20" t="str">
        <f t="shared" si="7"/>
        <v/>
      </c>
      <c r="S67" s="42"/>
    </row>
    <row r="68" spans="1:19">
      <c r="B68" s="10"/>
      <c r="C68" s="10"/>
      <c r="D68" s="10"/>
      <c r="E68" s="10"/>
      <c r="F68" s="11"/>
      <c r="G68" s="11"/>
      <c r="H68" s="11"/>
      <c r="I68" s="12" t="str">
        <f>IFERROR(INDEX(metal_type[description],MATCH(J68,metal_type[metal_type],0)),"")</f>
        <v/>
      </c>
      <c r="J68" s="10"/>
      <c r="K68" s="17"/>
      <c r="L68" s="26"/>
      <c r="M68" s="26" t="str">
        <f>IF(OR(J68="",L68=""),"",ROUND(((L68*VLOOKUP(J68,metal_type[],4,0))/VLOOKUP(J68,metal_type[],6,0)),2))</f>
        <v/>
      </c>
      <c r="N68" s="20" t="str">
        <f>IF(
   OR(J68="", L68=""),
   "",
   IF(
      IFERROR(
         INDEX(
            metal_type[metal_rate_per_gram],
            MATCH(Sheet1!J68, metal_type[metal_type], 0)
         ),
         0
      ) = 0,
      "",
      L68 *
      INDEX(
         metal_type[metal_rate_per_gram],
         MATCH(Sheet1!J68, metal_type[metal_type], 0)
      )
   )
)</f>
        <v/>
      </c>
      <c r="O68" s="20" t="str">
        <f t="shared" si="4"/>
        <v/>
      </c>
      <c r="P68" s="20" t="str">
        <f t="shared" si="5"/>
        <v/>
      </c>
      <c r="Q68" s="20" t="str">
        <f t="shared" si="6"/>
        <v/>
      </c>
      <c r="R68" s="20" t="str">
        <f t="shared" si="7"/>
        <v/>
      </c>
      <c r="S68" s="42"/>
    </row>
    <row r="69" spans="1:19">
      <c r="B69" s="10"/>
      <c r="C69" s="10"/>
      <c r="D69" s="10"/>
      <c r="E69" s="10"/>
      <c r="F69" s="11"/>
      <c r="G69" s="11"/>
      <c r="H69" s="11"/>
      <c r="I69" s="12" t="str">
        <f>IFERROR(INDEX(metal_type[description],MATCH(J69,metal_type[metal_type],0)),"")</f>
        <v/>
      </c>
      <c r="J69" s="10"/>
      <c r="K69" s="17"/>
      <c r="L69" s="26"/>
      <c r="M69" s="26" t="str">
        <f>IF(OR(J69="",L69=""),"",ROUND(((L69*VLOOKUP(J69,metal_type[],4,0))/VLOOKUP(J69,metal_type[],6,0)),2))</f>
        <v/>
      </c>
      <c r="N69" s="20" t="str">
        <f>IF(
   OR(J69="", L69=""),
   "",
   IF(
      IFERROR(
         INDEX(
            metal_type[metal_rate_per_gram],
            MATCH(Sheet1!J69, metal_type[metal_type], 0)
         ),
         0
      ) = 0,
      "",
      L69 *
      INDEX(
         metal_type[metal_rate_per_gram],
         MATCH(Sheet1!J69, metal_type[metal_type], 0)
      )
   )
)</f>
        <v/>
      </c>
      <c r="O69" s="20" t="str">
        <f t="shared" si="4"/>
        <v/>
      </c>
      <c r="P69" s="20" t="str">
        <f t="shared" si="5"/>
        <v/>
      </c>
      <c r="Q69" s="20" t="str">
        <f t="shared" si="6"/>
        <v/>
      </c>
      <c r="R69" s="20" t="str">
        <f t="shared" si="7"/>
        <v/>
      </c>
      <c r="S69" s="42"/>
    </row>
    <row r="70" spans="1:19">
      <c r="B70" s="10"/>
      <c r="C70" s="10"/>
      <c r="D70" s="10"/>
      <c r="E70" s="10"/>
      <c r="F70" s="11"/>
      <c r="G70" s="11"/>
      <c r="H70" s="11"/>
      <c r="I70" s="12" t="str">
        <f>IFERROR(INDEX(metal_type[description],MATCH(J70,metal_type[metal_type],0)),"")</f>
        <v/>
      </c>
      <c r="J70" s="10"/>
      <c r="K70" s="17"/>
      <c r="L70" s="26"/>
      <c r="M70" s="26" t="str">
        <f>IF(OR(J70="",L70=""),"",ROUND(((L70*VLOOKUP(J70,metal_type[],4,0))/VLOOKUP(J70,metal_type[],6,0)),2))</f>
        <v/>
      </c>
      <c r="N70" s="20" t="str">
        <f>IF(
   OR(J70="", L70=""),
   "",
   IF(
      IFERROR(
         INDEX(
            metal_type[metal_rate_per_gram],
            MATCH(Sheet1!J70, metal_type[metal_type], 0)
         ),
         0
      ) = 0,
      "",
      L70 *
      INDEX(
         metal_type[metal_rate_per_gram],
         MATCH(Sheet1!J70, metal_type[metal_type], 0)
      )
   )
)</f>
        <v/>
      </c>
      <c r="O70" s="20" t="str">
        <f t="shared" si="4"/>
        <v/>
      </c>
      <c r="P70" s="20" t="str">
        <f t="shared" si="5"/>
        <v/>
      </c>
      <c r="Q70" s="20" t="str">
        <f t="shared" si="6"/>
        <v/>
      </c>
      <c r="R70" s="20" t="str">
        <f t="shared" si="7"/>
        <v/>
      </c>
      <c r="S70" s="42"/>
    </row>
    <row r="71" spans="1:19">
      <c r="B71" s="10"/>
      <c r="C71" s="10"/>
      <c r="D71" s="10"/>
      <c r="E71" s="10"/>
      <c r="F71" s="11"/>
      <c r="G71" s="11"/>
      <c r="H71" s="11"/>
      <c r="I71" s="12" t="str">
        <f>IFERROR(INDEX(metal_type[description],MATCH(J71,metal_type[metal_type],0)),"")</f>
        <v/>
      </c>
      <c r="J71" s="10"/>
      <c r="K71" s="17"/>
      <c r="L71" s="26"/>
      <c r="M71" s="26" t="str">
        <f>IF(OR(J71="",L71=""),"",ROUND(((L71*VLOOKUP(J71,metal_type[],4,0))/VLOOKUP(J71,metal_type[],6,0)),2))</f>
        <v/>
      </c>
      <c r="N71" s="20" t="str">
        <f>IF(
   OR(J71="", L71=""),
   "",
   IF(
      IFERROR(
         INDEX(
            metal_type[metal_rate_per_gram],
            MATCH(Sheet1!J71, metal_type[metal_type], 0)
         ),
         0
      ) = 0,
      "",
      L71 *
      INDEX(
         metal_type[metal_rate_per_gram],
         MATCH(Sheet1!J71, metal_type[metal_type], 0)
      )
   )
)</f>
        <v/>
      </c>
      <c r="O71" s="20" t="str">
        <f t="shared" si="4"/>
        <v/>
      </c>
      <c r="P71" s="20" t="str">
        <f t="shared" si="5"/>
        <v/>
      </c>
      <c r="Q71" s="20" t="str">
        <f t="shared" si="6"/>
        <v/>
      </c>
      <c r="R71" s="20" t="str">
        <f t="shared" si="7"/>
        <v/>
      </c>
      <c r="S71" s="42"/>
    </row>
    <row r="72" spans="1:19">
      <c r="B72" s="10"/>
      <c r="C72" s="10"/>
      <c r="D72" s="10"/>
      <c r="E72" s="10"/>
      <c r="F72" s="11"/>
      <c r="G72" s="11"/>
      <c r="H72" s="11"/>
      <c r="I72" s="12" t="str">
        <f>IFERROR(INDEX(metal_type[description],MATCH(J72,metal_type[metal_type],0)),"")</f>
        <v/>
      </c>
      <c r="J72" s="10"/>
      <c r="K72" s="17"/>
      <c r="L72" s="26"/>
      <c r="M72" s="26" t="str">
        <f>IF(OR(J72="",L72=""),"",ROUND(((L72*VLOOKUP(J72,metal_type[],4,0))/VLOOKUP(J72,metal_type[],6,0)),2))</f>
        <v/>
      </c>
      <c r="N72" s="20" t="str">
        <f>IF(
   OR(J72="", L72=""),
   "",
   IF(
      IFERROR(
         INDEX(
            metal_type[metal_rate_per_gram],
            MATCH(Sheet1!J72, metal_type[metal_type], 0)
         ),
         0
      ) = 0,
      "",
      L72 *
      INDEX(
         metal_type[metal_rate_per_gram],
         MATCH(Sheet1!J72, metal_type[metal_type], 0)
      )
   )
)</f>
        <v/>
      </c>
      <c r="O72" s="20" t="str">
        <f t="shared" si="4"/>
        <v/>
      </c>
      <c r="P72" s="20" t="str">
        <f t="shared" si="5"/>
        <v/>
      </c>
      <c r="Q72" s="20" t="str">
        <f t="shared" si="6"/>
        <v/>
      </c>
      <c r="R72" s="20" t="str">
        <f t="shared" si="7"/>
        <v/>
      </c>
      <c r="S72" s="42"/>
    </row>
    <row r="73" spans="1:19" s="2" customFormat="1" ht="18" customHeight="1">
      <c r="A73" s="30"/>
      <c r="B73" s="31" t="s">
        <v>141</v>
      </c>
      <c r="C73" s="32"/>
      <c r="D73" s="32"/>
      <c r="E73" s="32"/>
      <c r="F73" s="32"/>
      <c r="G73" s="29"/>
      <c r="H73" s="29"/>
      <c r="I73" s="29"/>
      <c r="J73" s="33"/>
      <c r="K73" s="22" t="str">
        <f>IF(SUM(K18:K72)=0,"",SUM(K18:K72))</f>
        <v/>
      </c>
      <c r="L73" s="27" t="str">
        <f>IF(SUM(L18:L72)=0,"",SUM(L18:L72))</f>
        <v/>
      </c>
      <c r="M73" s="27" t="str">
        <f>IF(SUM(M18:M72)=0,"",SUM(M18:M72))</f>
        <v/>
      </c>
      <c r="N73" s="28" t="str">
        <f t="shared" ref="N73:P73" si="8">IF(SUM(N18:N72)=0,"",SUM(N18:N72))</f>
        <v/>
      </c>
      <c r="O73" s="28" t="str">
        <f t="shared" si="8"/>
        <v/>
      </c>
      <c r="P73" s="28" t="str">
        <f t="shared" si="8"/>
        <v/>
      </c>
      <c r="Q73"/>
      <c r="R73"/>
      <c r="S73"/>
    </row>
    <row r="74" spans="1:19" ht="20.100000000000001" customHeight="1">
      <c r="A74" s="30"/>
      <c r="B74" s="31" t="s">
        <v>142</v>
      </c>
      <c r="C74" s="32"/>
      <c r="D74" s="32"/>
      <c r="E74" s="32"/>
      <c r="F74" s="32"/>
      <c r="G74" s="23"/>
      <c r="H74" s="23"/>
      <c r="I74" s="23"/>
      <c r="J74" s="23"/>
      <c r="K74" s="32"/>
      <c r="L74" s="32"/>
      <c r="M74" s="32"/>
      <c r="N74" s="32"/>
      <c r="O74" s="33"/>
      <c r="P74" s="21" t="str">
        <f>IF(P73="","",P73)</f>
        <v/>
      </c>
      <c r="Q74"/>
      <c r="R74"/>
      <c r="S74"/>
    </row>
    <row r="75" spans="1:19">
      <c r="A75" s="30"/>
      <c r="B75" s="30"/>
      <c r="C75" s="30"/>
      <c r="D75" s="30"/>
      <c r="E75" s="30"/>
      <c r="I75" s="30"/>
      <c r="J75" s="30"/>
      <c r="K75" s="30"/>
      <c r="L75" s="30"/>
      <c r="M75" s="30"/>
      <c r="N75" s="30"/>
      <c r="O75" s="30"/>
      <c r="P75" s="30"/>
      <c r="Q75"/>
      <c r="R75"/>
      <c r="S75"/>
    </row>
    <row r="76" spans="1:19">
      <c r="A76" s="30"/>
      <c r="B76" s="30"/>
      <c r="C76" s="30"/>
      <c r="D76" s="30"/>
      <c r="E76" s="30"/>
      <c r="I76" s="30"/>
      <c r="J76" s="30"/>
      <c r="K76" s="30"/>
      <c r="L76" s="30"/>
      <c r="M76" s="30"/>
      <c r="N76" s="30"/>
      <c r="O76" s="30"/>
      <c r="P76" s="30"/>
      <c r="Q76"/>
      <c r="R76"/>
      <c r="S76"/>
    </row>
    <row r="77" spans="1:19">
      <c r="A77" s="30"/>
      <c r="B77" s="1" t="s">
        <v>143</v>
      </c>
      <c r="C77" s="1"/>
      <c r="D77" s="1"/>
      <c r="E77" s="1"/>
      <c r="I77" s="30"/>
      <c r="J77" s="30"/>
      <c r="K77" s="37"/>
      <c r="L77" s="35" t="s">
        <v>144</v>
      </c>
      <c r="M77" s="30"/>
      <c r="N77" s="30"/>
      <c r="O77" s="30"/>
      <c r="P77" s="30"/>
      <c r="Q77"/>
      <c r="R77"/>
      <c r="S77"/>
    </row>
    <row r="78" spans="1:19">
      <c r="A78" s="30"/>
      <c r="B78" s="1"/>
      <c r="C78" s="1"/>
      <c r="D78" s="1"/>
      <c r="E78" s="1"/>
      <c r="K78" s="13" t="s">
        <v>145</v>
      </c>
      <c r="L78" s="38" t="s">
        <v>146</v>
      </c>
      <c r="M78" s="30"/>
      <c r="N78" s="30"/>
      <c r="O78" s="30"/>
      <c r="P78" s="30"/>
      <c r="Q78"/>
      <c r="R78"/>
      <c r="S78"/>
    </row>
    <row r="79" spans="1:19">
      <c r="A79" s="30"/>
      <c r="B79" s="1" t="str">
        <f>IF($L$3="","",IF(OR(ISNUMBER(SEARCH("ELEGANT",UPPER($L$3))),ISNUMBER(SEARCH("KAMA",UPPER($L$3)))),"VALUABLE CARGO TO BE DEPOSITED AT DGDCL STRONG ROOM, SEEPZ MUMBAI",""))</f>
        <v/>
      </c>
      <c r="C79" s="1"/>
      <c r="D79" s="1"/>
      <c r="E79" s="1"/>
      <c r="K79" s="13" t="s">
        <v>147</v>
      </c>
      <c r="L79" s="38" t="s">
        <v>148</v>
      </c>
      <c r="M79" s="30"/>
      <c r="N79" s="30"/>
      <c r="O79" s="30"/>
      <c r="P79" s="30"/>
      <c r="Q79"/>
      <c r="R79"/>
      <c r="S79"/>
    </row>
    <row r="80" spans="1:19">
      <c r="A80" s="30"/>
      <c r="B80" s="1"/>
      <c r="C80" s="1"/>
      <c r="D80" s="1"/>
      <c r="E80" s="1"/>
      <c r="J80" s="30"/>
      <c r="K80" s="37"/>
      <c r="L80" s="39" t="s">
        <v>149</v>
      </c>
      <c r="M80" s="30"/>
      <c r="N80" s="30"/>
      <c r="O80" s="30"/>
      <c r="P80" s="30"/>
      <c r="Q80"/>
      <c r="R80"/>
      <c r="S80"/>
    </row>
    <row r="81" spans="1:19">
      <c r="A81" s="30"/>
      <c r="B81" s="49" t="str">
        <f>IF($L$3="","",IF(ISNUMBER(SEARCH("ELEGANT",UPPER($L$3))),"THE SELLER WARRANTS THAT THESE PRODUCTS HAVE BEEN SUPPLIED IN COMPLIANCE WITH THE SIGNET RESPONSIBLE SOURCING PROTOCOL (""SRSP"").",""))</f>
        <v/>
      </c>
      <c r="C81" s="49"/>
      <c r="D81" s="49"/>
      <c r="E81" s="49"/>
      <c r="F81" s="49"/>
      <c r="G81" s="49"/>
      <c r="H81" s="49"/>
      <c r="I81" s="49"/>
      <c r="J81" s="30"/>
      <c r="K81" s="37"/>
      <c r="L81" s="38" t="s">
        <v>110</v>
      </c>
      <c r="M81" s="30"/>
      <c r="N81" s="30"/>
      <c r="O81" s="30"/>
      <c r="P81" s="30"/>
      <c r="Q81"/>
      <c r="R81"/>
      <c r="S81"/>
    </row>
    <row r="82" spans="1:19" s="18" customFormat="1">
      <c r="A82" s="30"/>
      <c r="B82" s="49"/>
      <c r="C82" s="49"/>
      <c r="D82" s="49"/>
      <c r="E82" s="49"/>
      <c r="F82" s="49"/>
      <c r="G82" s="49"/>
      <c r="H82" s="49"/>
      <c r="I82" s="49"/>
      <c r="J82" s="25"/>
      <c r="K82" s="13" t="s">
        <v>150</v>
      </c>
      <c r="L82" s="6" t="s">
        <v>151</v>
      </c>
      <c r="M82" s="30"/>
      <c r="N82" s="30"/>
      <c r="O82" s="30"/>
      <c r="P82" s="30"/>
      <c r="Q82"/>
      <c r="R82"/>
      <c r="S82"/>
    </row>
    <row r="83" spans="1:19" s="18" customFormat="1">
      <c r="A83" s="30"/>
      <c r="B83" s="49"/>
      <c r="C83" s="49"/>
      <c r="D83" s="49"/>
      <c r="E83" s="49"/>
      <c r="F83" s="49"/>
      <c r="G83" s="49"/>
      <c r="H83" s="49"/>
      <c r="I83" s="49"/>
      <c r="J83" s="25"/>
      <c r="K83" s="13" t="s">
        <v>152</v>
      </c>
      <c r="L83" s="38" t="s">
        <v>153</v>
      </c>
      <c r="M83" s="30"/>
      <c r="N83" s="30"/>
      <c r="O83" s="30"/>
      <c r="P83" s="30"/>
      <c r="Q83"/>
      <c r="R83"/>
      <c r="S83"/>
    </row>
    <row r="84" spans="1:19" s="18" customFormat="1">
      <c r="A84" s="30"/>
      <c r="B84" s="14"/>
      <c r="C84" s="14"/>
      <c r="D84" s="14"/>
      <c r="E84" s="14"/>
      <c r="F84" s="14"/>
      <c r="G84" s="14"/>
      <c r="H84" s="14"/>
      <c r="I84" s="14"/>
      <c r="J84" s="14"/>
      <c r="K84" s="13" t="s">
        <v>154</v>
      </c>
      <c r="L84" s="38" t="s">
        <v>155</v>
      </c>
      <c r="M84" s="30"/>
      <c r="N84" s="30"/>
      <c r="O84" s="30"/>
      <c r="P84" s="30"/>
      <c r="Q84"/>
      <c r="R84"/>
      <c r="S84"/>
    </row>
    <row r="85" spans="1:19" s="18" customFormat="1">
      <c r="A85" s="30"/>
      <c r="B85" s="30"/>
      <c r="C85" s="30"/>
      <c r="D85" s="30"/>
      <c r="E85" s="30"/>
      <c r="F85" s="30"/>
      <c r="G85" s="30"/>
      <c r="H85" s="30"/>
      <c r="I85" s="14"/>
      <c r="J85" s="14"/>
      <c r="K85" s="13" t="s">
        <v>156</v>
      </c>
      <c r="L85" s="38" t="s">
        <v>157</v>
      </c>
      <c r="M85" s="30"/>
      <c r="N85" s="30"/>
      <c r="O85" s="30"/>
      <c r="P85" s="30"/>
      <c r="Q85"/>
      <c r="R85"/>
      <c r="S85"/>
    </row>
    <row r="86" spans="1:19" s="18" customFormat="1">
      <c r="A86" s="30"/>
      <c r="B86" s="30"/>
      <c r="C86" s="30"/>
      <c r="D86" s="30"/>
      <c r="E86" s="30"/>
      <c r="F86" s="30"/>
      <c r="G86" s="30"/>
      <c r="H86" s="30"/>
      <c r="I86" s="14"/>
      <c r="J86" s="30"/>
      <c r="K86" s="37"/>
      <c r="L86" s="38" t="s">
        <v>158</v>
      </c>
      <c r="M86" s="30"/>
      <c r="N86" s="30"/>
      <c r="O86" s="30"/>
      <c r="P86" s="30"/>
      <c r="Q86"/>
      <c r="R86"/>
      <c r="S86"/>
    </row>
    <row r="87" spans="1:19" s="18" customFormat="1">
      <c r="A87" s="30"/>
      <c r="B87" s="5" t="s">
        <v>159</v>
      </c>
      <c r="C87" s="5"/>
      <c r="D87" s="5"/>
      <c r="E87" s="5"/>
      <c r="F87" s="14"/>
      <c r="G87" s="14"/>
      <c r="H87" s="14"/>
      <c r="I87" s="14"/>
      <c r="J87" s="30"/>
      <c r="K87" s="37"/>
      <c r="L87" s="6" t="s">
        <v>160</v>
      </c>
      <c r="M87" s="30"/>
      <c r="N87" s="30"/>
      <c r="O87" s="30"/>
      <c r="P87" s="30"/>
      <c r="Q87"/>
      <c r="R87"/>
      <c r="S87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/>
      <c r="R88"/>
      <c r="S88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/>
      <c r="R89"/>
      <c r="S89"/>
    </row>
    <row r="90" spans="1:19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/>
      <c r="R90"/>
      <c r="S90"/>
    </row>
    <row r="91" spans="1:19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/>
      <c r="R91"/>
      <c r="S91"/>
    </row>
    <row r="92" spans="1:19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/>
      <c r="R92"/>
      <c r="S92"/>
    </row>
    <row r="93" spans="1:19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/>
      <c r="R93"/>
      <c r="S93"/>
    </row>
    <row r="94" spans="1:19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/>
      <c r="R94"/>
      <c r="S94"/>
    </row>
    <row r="95" spans="1:19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/>
      <c r="R95"/>
      <c r="S95"/>
    </row>
    <row r="96" spans="1:19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/>
      <c r="R96"/>
      <c r="S96"/>
    </row>
    <row r="97" spans="1:19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/>
      <c r="R97"/>
      <c r="S97"/>
    </row>
    <row r="98" spans="1:19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/>
      <c r="R98"/>
      <c r="S98"/>
    </row>
    <row r="99" spans="1:1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/>
      <c r="R99"/>
      <c r="S99"/>
    </row>
    <row r="100" spans="1:19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/>
      <c r="R100"/>
      <c r="S100"/>
    </row>
    <row r="101" spans="1:19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/>
      <c r="R101"/>
      <c r="S101"/>
    </row>
    <row r="102" spans="1:19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/>
      <c r="R102"/>
      <c r="S102"/>
    </row>
    <row r="103" spans="1:19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/>
      <c r="R103"/>
      <c r="S103"/>
    </row>
    <row r="104" spans="1:19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/>
      <c r="R104"/>
      <c r="S104"/>
    </row>
    <row r="105" spans="1:19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/>
      <c r="R105"/>
      <c r="S105"/>
    </row>
    <row r="106" spans="1:19">
      <c r="J106" s="30"/>
      <c r="K106" s="30"/>
      <c r="L106" s="30"/>
      <c r="M106" s="30"/>
      <c r="N106" s="30"/>
      <c r="O106" s="30"/>
      <c r="P106" s="30"/>
      <c r="Q106"/>
      <c r="R106"/>
      <c r="S106"/>
    </row>
    <row r="107" spans="1:19">
      <c r="J107" s="30"/>
      <c r="K107" s="30"/>
      <c r="L107" s="30"/>
      <c r="M107" s="30"/>
      <c r="N107" s="30"/>
      <c r="O107" s="30"/>
      <c r="P107" s="30"/>
      <c r="Q107"/>
      <c r="R107"/>
      <c r="S107"/>
    </row>
    <row r="108" spans="1:19">
      <c r="J108" s="30"/>
      <c r="K108" s="30"/>
      <c r="L108" s="30"/>
      <c r="M108" s="30"/>
      <c r="N108" s="30"/>
      <c r="O108" s="30"/>
      <c r="P108" s="30"/>
      <c r="Q108"/>
      <c r="R108"/>
      <c r="S108"/>
    </row>
    <row r="109" spans="1:19">
      <c r="J109" s="30"/>
      <c r="K109" s="30"/>
      <c r="L109" s="30"/>
      <c r="M109" s="30"/>
      <c r="N109" s="30"/>
      <c r="O109" s="30"/>
      <c r="P109" s="30"/>
      <c r="Q109"/>
      <c r="R109"/>
      <c r="S109"/>
    </row>
    <row r="110" spans="1:19">
      <c r="J110" s="30"/>
      <c r="K110" s="30"/>
      <c r="L110" s="30"/>
      <c r="M110" s="30"/>
      <c r="N110" s="30"/>
      <c r="O110" s="30"/>
      <c r="P110" s="30"/>
      <c r="Q110"/>
      <c r="R110"/>
      <c r="S110"/>
    </row>
    <row r="111" spans="1:19">
      <c r="J111" s="30"/>
      <c r="K111" s="30"/>
      <c r="L111" s="30"/>
      <c r="M111" s="30"/>
      <c r="N111" s="30"/>
      <c r="O111" s="30"/>
      <c r="P111" s="30"/>
      <c r="Q111"/>
      <c r="R111"/>
      <c r="S111"/>
    </row>
    <row r="112" spans="1:19">
      <c r="J112" s="30"/>
      <c r="K112" s="30"/>
      <c r="L112" s="30"/>
      <c r="M112" s="30"/>
      <c r="N112" s="30"/>
      <c r="O112" s="30"/>
      <c r="P112" s="30"/>
      <c r="Q112"/>
      <c r="R112"/>
      <c r="S112"/>
    </row>
    <row r="113" spans="10:19">
      <c r="J113" s="30"/>
      <c r="K113" s="30"/>
      <c r="L113" s="30"/>
      <c r="M113" s="30"/>
      <c r="N113" s="30"/>
      <c r="O113" s="30"/>
      <c r="P113" s="30"/>
      <c r="Q113"/>
      <c r="R113"/>
      <c r="S113"/>
    </row>
    <row r="114" spans="10:19">
      <c r="J114" s="30"/>
      <c r="K114" s="30"/>
      <c r="L114" s="30"/>
      <c r="M114" s="30"/>
      <c r="N114" s="30"/>
      <c r="O114" s="30"/>
      <c r="P114" s="30"/>
      <c r="Q114"/>
      <c r="R114"/>
      <c r="S114"/>
    </row>
    <row r="115" spans="10:19">
      <c r="J115" s="30"/>
      <c r="K115" s="30"/>
      <c r="L115" s="30"/>
      <c r="M115" s="30"/>
      <c r="N115" s="30"/>
      <c r="O115" s="30"/>
      <c r="P115" s="30"/>
      <c r="Q115"/>
      <c r="R115"/>
      <c r="S115"/>
    </row>
    <row r="116" spans="10:19">
      <c r="J116" s="30"/>
      <c r="K116" s="30"/>
      <c r="L116" s="30"/>
      <c r="M116" s="30"/>
      <c r="N116" s="30"/>
      <c r="O116" s="30"/>
      <c r="P116" s="30"/>
      <c r="Q116"/>
      <c r="R116"/>
      <c r="S116"/>
    </row>
    <row r="117" spans="10:19">
      <c r="J117" s="30"/>
      <c r="K117" s="30"/>
      <c r="L117" s="30"/>
      <c r="M117" s="30"/>
      <c r="N117" s="30"/>
      <c r="O117" s="30"/>
      <c r="P117" s="30"/>
      <c r="Q117"/>
      <c r="R117"/>
      <c r="S117"/>
    </row>
    <row r="118" spans="10:19">
      <c r="J118" s="30"/>
      <c r="K118" s="30"/>
      <c r="L118" s="30"/>
      <c r="M118" s="30"/>
      <c r="N118" s="30"/>
      <c r="O118" s="30"/>
      <c r="P118" s="30"/>
      <c r="Q118"/>
      <c r="R118"/>
      <c r="S118"/>
    </row>
    <row r="119" spans="10:19">
      <c r="J119" s="30"/>
      <c r="K119" s="30"/>
      <c r="L119" s="30"/>
      <c r="M119" s="30"/>
      <c r="N119" s="30"/>
      <c r="O119" s="30"/>
      <c r="P119" s="30"/>
      <c r="Q119"/>
      <c r="R119"/>
      <c r="S119"/>
    </row>
    <row r="120" spans="10:19">
      <c r="J120" s="30"/>
      <c r="K120" s="30"/>
      <c r="L120" s="30"/>
      <c r="M120" s="30"/>
      <c r="N120" s="30"/>
      <c r="O120" s="30"/>
      <c r="P120" s="30"/>
      <c r="Q120"/>
      <c r="R120"/>
      <c r="S120"/>
    </row>
    <row r="121" spans="10:19">
      <c r="J121" s="30"/>
      <c r="K121" s="30"/>
      <c r="L121" s="30"/>
      <c r="M121" s="30"/>
      <c r="N121" s="30"/>
      <c r="O121" s="30"/>
      <c r="P121" s="30"/>
      <c r="Q121"/>
      <c r="R121"/>
      <c r="S121"/>
    </row>
    <row r="122" spans="10:19">
      <c r="J122" s="30"/>
      <c r="K122" s="30"/>
      <c r="L122" s="30"/>
      <c r="M122" s="30"/>
      <c r="N122" s="30"/>
      <c r="O122" s="30"/>
      <c r="P122" s="30"/>
      <c r="Q122"/>
      <c r="R122"/>
      <c r="S122"/>
    </row>
    <row r="123" spans="10:19">
      <c r="J123" s="30"/>
      <c r="K123" s="30"/>
      <c r="L123" s="30"/>
      <c r="M123" s="30"/>
      <c r="N123" s="30"/>
      <c r="O123" s="30"/>
      <c r="P123" s="30"/>
      <c r="Q123" s="30"/>
      <c r="R123" s="30"/>
      <c r="S123" s="30"/>
    </row>
    <row r="124" spans="10:19">
      <c r="M124" s="30"/>
      <c r="N124" s="30"/>
      <c r="O124" s="30"/>
      <c r="P124" s="30"/>
      <c r="Q124" s="30"/>
      <c r="R124" s="30"/>
      <c r="S124" s="30"/>
    </row>
  </sheetData>
  <autoFilter ref="B17:S17" xr:uid="{BE0B7192-3208-4F41-BA80-21C88EAFF774}"/>
  <mergeCells count="1">
    <mergeCell ref="B81:I83"/>
  </mergeCells>
  <conditionalFormatting sqref="L3">
    <cfRule type="cellIs" dxfId="0" priority="1" operator="equal">
      <formula>"MULTIPLE"</formula>
    </cfRule>
  </conditionalFormatting>
  <dataValidations count="1">
    <dataValidation type="list" allowBlank="1" showInputMessage="1" showErrorMessage="1" sqref="J18:J72" xr:uid="{458C7AB7-A647-42D3-84D2-256B7C67305D}">
      <formula1>metal_type2_list</formula1>
    </dataValidation>
  </dataValidations>
  <printOptions horizontalCentered="1"/>
  <pageMargins left="0.25" right="0.25" top="0.75" bottom="0.75" header="0.3" footer="0.3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Shaival Shah</dc:creator>
  <cp:keywords/>
  <dc:description/>
  <cp:lastModifiedBy/>
  <cp:revision/>
  <dcterms:created xsi:type="dcterms:W3CDTF">2010-10-26T19:20:46Z</dcterms:created>
  <dcterms:modified xsi:type="dcterms:W3CDTF">2026-03-23T17:24:32Z</dcterms:modified>
  <cp:category/>
  <cp:contentStatus/>
</cp:coreProperties>
</file>